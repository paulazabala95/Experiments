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<sst xmlns="http://schemas.openxmlformats.org/spreadsheetml/2006/main" count="408" uniqueCount="283">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</sst>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€26k (renewal value).</v>
      </c>
      <c r="I7" s="8" t="str">
        <f aca="false">INDEX(Pipeline!$W$5:$W$14,MATCH($A7,Pipeline!$Y$5:$Y$14,0))</f>
        <v>CSM</v>
      </c>
      <c r="J7" s="8" t="str">
        <f aca="false">INDEX(Pipeline!$AA$5:$AA$14,MATCH($A7,Pipeline!$Y$5:$Y$14,0))&amp;""</f>
        <v>Me, Finance</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11"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89</v>
      </c>
      <c r="X7" s="17" t="n">
        <v>46317</v>
      </c>
      <c r="Y7" s="18" t="n">
        <v>3</v>
      </c>
      <c r="Z7" s="20" t="s">
        <v>96</v>
      </c>
      <c r="AA7" s="20" t="s">
        <v>97</v>
      </c>
      <c r="AB7" s="20"/>
      <c r="AC7" s="18" t="n">
        <v>30</v>
      </c>
      <c r="AD7" s="21" t="n">
        <f aca="false">IF(AC7="","",C7-AC7)</f>
        <v>46298</v>
      </c>
      <c r="AE7" s="8" t="str">
        <f aca="false">IF(E7&gt;=0.2,"Over-usage: open Upsell opp + CSM/Renewals task",IF(E7&lt;=-0.2,"Under-usage: flag CSM"&amp;IF(D7="Auto","; set At risk",""),""))</f>
        <v/>
      </c>
      <c r="AF7" s="20" t="s">
        <v>98</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99</v>
      </c>
      <c r="B8" s="16" t="n">
        <v>45000</v>
      </c>
      <c r="C8" s="17" t="n">
        <v>46333</v>
      </c>
      <c r="D8" s="18" t="s">
        <v>73</v>
      </c>
      <c r="E8" s="19" t="n">
        <v>-0.35</v>
      </c>
      <c r="F8" s="18" t="s">
        <v>100</v>
      </c>
      <c r="G8" s="18" t="s">
        <v>101</v>
      </c>
      <c r="H8" s="20" t="s">
        <v>102</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103</v>
      </c>
      <c r="W8" s="18" t="s">
        <v>89</v>
      </c>
      <c r="X8" s="17" t="n">
        <v>46318</v>
      </c>
      <c r="Y8" s="18" t="n">
        <v>4</v>
      </c>
      <c r="Z8" s="20" t="s">
        <v>104</v>
      </c>
      <c r="AA8" s="20" t="s">
        <v>105</v>
      </c>
      <c r="AB8" s="20" t="s">
        <v>106</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107</v>
      </c>
      <c r="B9" s="16" t="n">
        <v>36000</v>
      </c>
      <c r="C9" s="17" t="n">
        <v>46370</v>
      </c>
      <c r="D9" s="18" t="s">
        <v>73</v>
      </c>
      <c r="E9" s="19" t="n">
        <v>-0.1</v>
      </c>
      <c r="F9" s="18" t="s">
        <v>74</v>
      </c>
      <c r="G9" s="18" t="s">
        <v>108</v>
      </c>
      <c r="H9" s="20" t="s">
        <v>109</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110</v>
      </c>
      <c r="W9" s="18" t="s">
        <v>78</v>
      </c>
      <c r="X9" s="17" t="n">
        <v>46315</v>
      </c>
      <c r="Y9" s="18" t="n">
        <v>6</v>
      </c>
      <c r="Z9" s="20" t="s">
        <v>111</v>
      </c>
      <c r="AA9" s="20" t="s">
        <v>112</v>
      </c>
      <c r="AB9" s="20"/>
      <c r="AC9" s="18"/>
      <c r="AD9" s="21" t="str">
        <f aca="false">IF(AC9="","",C9-AC9)</f>
        <v/>
      </c>
      <c r="AE9" s="8" t="str">
        <f aca="false">IF(E9&gt;=0.2,"Over-usage: open Upsell opp + CSM/Renewals task",IF(E9&lt;=-0.2,"Under-usage: flag CSM"&amp;IF(D9="Auto","; set At risk",""),""))</f>
        <v/>
      </c>
      <c r="AF9" s="20" t="s">
        <v>108</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113</v>
      </c>
      <c r="B10" s="16" t="n">
        <v>50000</v>
      </c>
      <c r="C10" s="17" t="n">
        <v>46344</v>
      </c>
      <c r="D10" s="18" t="s">
        <v>73</v>
      </c>
      <c r="E10" s="19" t="n">
        <v>0.05</v>
      </c>
      <c r="F10" s="18" t="s">
        <v>74</v>
      </c>
      <c r="G10" s="18" t="s">
        <v>108</v>
      </c>
      <c r="H10" s="20" t="s">
        <v>114</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115</v>
      </c>
      <c r="W10" s="18" t="s">
        <v>116</v>
      </c>
      <c r="X10" s="17" t="n">
        <v>46318</v>
      </c>
      <c r="Y10" s="18" t="n">
        <v>5</v>
      </c>
      <c r="Z10" s="20" t="s">
        <v>117</v>
      </c>
      <c r="AA10" s="20" t="s">
        <v>118</v>
      </c>
      <c r="AB10" s="20" t="s">
        <v>119</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120</v>
      </c>
      <c r="B11" s="16" t="n">
        <v>28000</v>
      </c>
      <c r="C11" s="17" t="n">
        <v>46347</v>
      </c>
      <c r="D11" s="18" t="s">
        <v>92</v>
      </c>
      <c r="E11" s="19" t="n">
        <v>0.08</v>
      </c>
      <c r="F11" s="18" t="s">
        <v>84</v>
      </c>
      <c r="G11" s="18" t="s">
        <v>93</v>
      </c>
      <c r="H11" s="20" t="s">
        <v>121</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122</v>
      </c>
      <c r="W11" s="18" t="s">
        <v>78</v>
      </c>
      <c r="X11" s="17" t="n">
        <v>46317</v>
      </c>
      <c r="Y11" s="18" t="n">
        <v>9</v>
      </c>
      <c r="Z11" s="20" t="s">
        <v>123</v>
      </c>
      <c r="AA11" s="20" t="s">
        <v>124</v>
      </c>
      <c r="AB11" s="20"/>
      <c r="AC11" s="18" t="n">
        <v>30</v>
      </c>
      <c r="AD11" s="21" t="n">
        <f aca="false">IF(AC11="","",C11-AC11)</f>
        <v>46317</v>
      </c>
      <c r="AE11" s="8" t="str">
        <f aca="false">IF(E11&gt;=0.2,"Over-usage: open Upsell opp + CSM/Renewals task",IF(E11&lt;=-0.2,"Under-usage: flag CSM"&amp;IF(D11="Auto","; set At risk",""),""))</f>
        <v/>
      </c>
      <c r="AF11" s="20" t="s">
        <v>98</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125</v>
      </c>
      <c r="B12" s="16" t="n">
        <v>35000</v>
      </c>
      <c r="C12" s="17" t="n">
        <v>46354</v>
      </c>
      <c r="D12" s="18" t="s">
        <v>73</v>
      </c>
      <c r="E12" s="19" t="n">
        <v>0.4</v>
      </c>
      <c r="F12" s="18" t="s">
        <v>84</v>
      </c>
      <c r="G12" s="18" t="s">
        <v>101</v>
      </c>
      <c r="H12" s="20" t="s">
        <v>126</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127</v>
      </c>
      <c r="W12" s="18" t="s">
        <v>89</v>
      </c>
      <c r="X12" s="17" t="n">
        <v>46323</v>
      </c>
      <c r="Y12" s="18" t="n">
        <v>8</v>
      </c>
      <c r="Z12" s="20" t="s">
        <v>128</v>
      </c>
      <c r="AA12" s="20" t="s">
        <v>78</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129</v>
      </c>
      <c r="B13" s="16" t="n">
        <v>46000</v>
      </c>
      <c r="C13" s="17" t="n">
        <v>46365</v>
      </c>
      <c r="D13" s="18" t="s">
        <v>73</v>
      </c>
      <c r="E13" s="19" t="n">
        <v>0</v>
      </c>
      <c r="F13" s="18" t="s">
        <v>74</v>
      </c>
      <c r="G13" s="18" t="s">
        <v>85</v>
      </c>
      <c r="H13" s="20" t="s">
        <v>130</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131</v>
      </c>
      <c r="W13" s="18" t="s">
        <v>78</v>
      </c>
      <c r="X13" s="17" t="n">
        <v>46322</v>
      </c>
      <c r="Y13" s="18" t="n">
        <v>7</v>
      </c>
      <c r="Z13" s="20" t="s">
        <v>132</v>
      </c>
      <c r="AA13" s="20" t="s">
        <v>133</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134</v>
      </c>
      <c r="B14" s="16" t="n">
        <v>40000</v>
      </c>
      <c r="C14" s="17" t="n">
        <v>46375</v>
      </c>
      <c r="D14" s="18" t="s">
        <v>92</v>
      </c>
      <c r="E14" s="19" t="n">
        <v>-0.2</v>
      </c>
      <c r="F14" s="18" t="s">
        <v>74</v>
      </c>
      <c r="G14" s="18" t="s">
        <v>135</v>
      </c>
      <c r="H14" s="20" t="s">
        <v>136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137</v>
      </c>
      <c r="W14" s="18" t="s">
        <v>89</v>
      </c>
      <c r="X14" s="17" t="n">
        <v>46325</v>
      </c>
      <c r="Y14" s="18" t="n">
        <v>10</v>
      </c>
      <c r="Z14" s="20" t="s">
        <v>138</v>
      </c>
      <c r="AA14" s="20" t="s">
        <v>78</v>
      </c>
      <c r="AB14" s="20"/>
      <c r="AC14" s="18" t="n">
        <v>30</v>
      </c>
      <c r="AD14" s="21" t="n">
        <f aca="false">IF(AC14="","",C14-AC14)</f>
        <v>46345</v>
      </c>
      <c r="AE14" s="8" t="str">
        <f aca="false">IF(E14&gt;=0.2,"Over-usage: open Upsell opp + CSM/Renewals task",IF(E14&lt;=-0.2,"Under-usage: flag CSM"&amp;IF(D14="Auto","; set At risk",""),""))</f>
        <v>Under-usage: flag CSM; set At risk</v>
      </c>
      <c r="AF14" s="20" t="s">
        <v>135</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139</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140</v>
      </c>
    </row>
    <row r="19" customFormat="false" ht="15" hidden="false" customHeight="false" outlineLevel="0" collapsed="false">
      <c r="A19" s="28" t="s">
        <v>141</v>
      </c>
      <c r="B19" s="28" t="s">
        <v>62</v>
      </c>
      <c r="C19" s="28" t="s">
        <v>142</v>
      </c>
      <c r="D19" s="28" t="s">
        <v>143</v>
      </c>
    </row>
    <row r="20" customFormat="false" ht="15" hidden="false" customHeight="false" outlineLevel="0" collapsed="false">
      <c r="A20" s="15" t="s">
        <v>144</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145</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147</v>
      </c>
      <c r="B23" s="29" t="n">
        <f aca="false">SUM(B20:B22)</f>
        <v>132800</v>
      </c>
      <c r="C23" s="23" t="n">
        <f aca="false">SUM(C20:C22)</f>
        <v>348400</v>
      </c>
      <c r="D23" s="30"/>
    </row>
    <row r="24" customFormat="false" ht="15" hidden="false" customHeight="false" outlineLevel="0" collapsed="false">
      <c r="A24" s="2" t="s">
        <v>148</v>
      </c>
    </row>
    <row r="25" customFormat="false" ht="15" hidden="false" customHeight="false" outlineLevel="0" collapsed="false">
      <c r="A25" s="15" t="s">
        <v>149</v>
      </c>
      <c r="B25" s="31" t="n">
        <f aca="false">'Opp summary'!E15</f>
        <v>-23000</v>
      </c>
    </row>
    <row r="26" customFormat="false" ht="15" hidden="false" customHeight="false" outlineLevel="0" collapsed="false">
      <c r="A26" s="15" t="s">
        <v>150</v>
      </c>
      <c r="B26" s="31" t="n">
        <f aca="false">'Opp summary'!F15</f>
        <v>0</v>
      </c>
    </row>
    <row r="27" customFormat="false" ht="15" hidden="false" customHeight="false" outlineLevel="0" collapsed="false">
      <c r="A27" s="15" t="s">
        <v>151</v>
      </c>
      <c r="B27" s="31" t="n">
        <f aca="false">'Opp summary'!H15</f>
        <v>-3600</v>
      </c>
    </row>
    <row r="28" customFormat="false" ht="15" hidden="false" customHeight="false" outlineLevel="0" collapsed="false">
      <c r="A28" s="15" t="s">
        <v>152</v>
      </c>
      <c r="B28" s="32" t="n">
        <f aca="false">(B15+B25+B27)/B15</f>
        <v>0.929066666666667</v>
      </c>
    </row>
    <row r="29" customFormat="false" ht="15" hidden="false" customHeight="false" outlineLevel="0" collapsed="false">
      <c r="A29" s="15" t="s">
        <v>153</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154</v>
      </c>
      <c r="B32" s="29" t="n">
        <f aca="false">T15</f>
        <v>132800</v>
      </c>
    </row>
    <row r="33" customFormat="false" ht="15" hidden="false" customHeight="false" outlineLevel="0" collapsed="false">
      <c r="A33" s="15" t="s">
        <v>155</v>
      </c>
      <c r="B33" s="33" t="n">
        <f aca="false">AH15</f>
        <v>245130</v>
      </c>
    </row>
    <row r="34" customFormat="false" ht="15" hidden="false" customHeight="false" outlineLevel="0" collapsed="false">
      <c r="A34" s="15" t="s">
        <v>156</v>
      </c>
      <c r="B34" s="33" t="n">
        <f aca="false">B33-B32</f>
        <v>112330</v>
      </c>
    </row>
    <row r="35" customFormat="false" ht="15" hidden="false" customHeight="false" outlineLevel="0" collapsed="false">
      <c r="A35" s="15" t="s">
        <v>157</v>
      </c>
      <c r="B35" s="34" t="n">
        <f aca="false">AJ15</f>
        <v>119300</v>
      </c>
    </row>
    <row r="36" customFormat="false" ht="15" hidden="false" customHeight="false" outlineLevel="0" collapsed="false">
      <c r="A36" s="15" t="s">
        <v>158</v>
      </c>
      <c r="B36" s="34" t="n">
        <f aca="false">B35-B32</f>
        <v>-13500</v>
      </c>
    </row>
    <row r="37" customFormat="false" ht="15" hidden="false" customHeight="false" outlineLevel="0" collapsed="false">
      <c r="A37" s="15" t="s">
        <v>159</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160</v>
      </c>
    </row>
    <row r="2" customFormat="false" ht="57.75" hidden="false" customHeight="true" outlineLevel="0" collapsed="false">
      <c r="A2" s="35" t="s">
        <v>161</v>
      </c>
      <c r="B2" s="35"/>
      <c r="C2" s="35"/>
      <c r="D2" s="35"/>
      <c r="E2" s="35"/>
      <c r="F2" s="35"/>
      <c r="G2" s="35"/>
      <c r="H2" s="35"/>
      <c r="I2" s="35"/>
      <c r="J2" s="35"/>
      <c r="K2" s="35"/>
      <c r="L2" s="35"/>
      <c r="M2" s="35"/>
      <c r="N2" s="35"/>
    </row>
    <row r="4" customFormat="false" ht="31.5" hidden="false" customHeight="true" outlineLevel="0" collapsed="false">
      <c r="A4" s="6" t="s">
        <v>162</v>
      </c>
      <c r="B4" s="6" t="s">
        <v>163</v>
      </c>
      <c r="C4" s="6" t="s">
        <v>164</v>
      </c>
      <c r="D4" s="6" t="s">
        <v>165</v>
      </c>
      <c r="E4" s="6" t="s">
        <v>166</v>
      </c>
      <c r="F4" s="6" t="s">
        <v>167</v>
      </c>
      <c r="G4" s="6" t="s">
        <v>168</v>
      </c>
      <c r="H4" s="6" t="s">
        <v>169</v>
      </c>
      <c r="I4" s="6" t="s">
        <v>170</v>
      </c>
      <c r="J4" s="6" t="s">
        <v>171</v>
      </c>
      <c r="K4" s="6" t="s">
        <v>61</v>
      </c>
      <c r="L4" s="6" t="s">
        <v>172</v>
      </c>
      <c r="M4" s="6" t="s">
        <v>173</v>
      </c>
      <c r="N4" s="6" t="s">
        <v>174</v>
      </c>
      <c r="O4" s="6" t="s">
        <v>175</v>
      </c>
      <c r="P4" s="6" t="s">
        <v>176</v>
      </c>
    </row>
    <row r="5" customFormat="false" ht="15" hidden="false" customHeight="false" outlineLevel="0" collapsed="false">
      <c r="A5" s="15" t="s">
        <v>72</v>
      </c>
      <c r="B5" s="15" t="s">
        <v>177</v>
      </c>
      <c r="C5" s="18" t="s">
        <v>178</v>
      </c>
      <c r="D5" s="18" t="n">
        <v>1</v>
      </c>
      <c r="E5" s="18" t="s">
        <v>179</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180</v>
      </c>
    </row>
    <row r="6" customFormat="false" ht="15" hidden="false" customHeight="false" outlineLevel="0" collapsed="false">
      <c r="A6" s="15" t="s">
        <v>83</v>
      </c>
      <c r="B6" s="15" t="s">
        <v>181</v>
      </c>
      <c r="C6" s="18" t="s">
        <v>178</v>
      </c>
      <c r="D6" s="18" t="n">
        <v>1</v>
      </c>
      <c r="E6" s="18" t="s">
        <v>179</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182</v>
      </c>
    </row>
    <row r="7" customFormat="false" ht="15" hidden="false" customHeight="false" outlineLevel="0" collapsed="false">
      <c r="A7" s="15" t="s">
        <v>91</v>
      </c>
      <c r="B7" s="15" t="s">
        <v>177</v>
      </c>
      <c r="C7" s="18" t="s">
        <v>178</v>
      </c>
      <c r="D7" s="18" t="n">
        <v>1</v>
      </c>
      <c r="E7" s="18" t="s">
        <v>179</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183</v>
      </c>
    </row>
    <row r="8" customFormat="false" ht="15" hidden="false" customHeight="false" outlineLevel="0" collapsed="false">
      <c r="A8" s="15" t="s">
        <v>99</v>
      </c>
      <c r="B8" s="15" t="s">
        <v>184</v>
      </c>
      <c r="C8" s="18" t="s">
        <v>185</v>
      </c>
      <c r="D8" s="18" t="n">
        <v>1</v>
      </c>
      <c r="E8" s="18" t="s">
        <v>179</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186</v>
      </c>
    </row>
    <row r="9" customFormat="false" ht="15" hidden="false" customHeight="false" outlineLevel="0" collapsed="false">
      <c r="A9" s="15" t="s">
        <v>107</v>
      </c>
      <c r="B9" s="15" t="s">
        <v>187</v>
      </c>
      <c r="C9" s="18" t="s">
        <v>178</v>
      </c>
      <c r="D9" s="18" t="n">
        <v>2</v>
      </c>
      <c r="E9" s="18" t="s">
        <v>179</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188</v>
      </c>
    </row>
    <row r="10" customFormat="false" ht="15" hidden="false" customHeight="false" outlineLevel="0" collapsed="false">
      <c r="A10" s="15" t="s">
        <v>113</v>
      </c>
      <c r="B10" s="15" t="s">
        <v>184</v>
      </c>
      <c r="C10" s="18" t="s">
        <v>178</v>
      </c>
      <c r="D10" s="18" t="n">
        <v>1</v>
      </c>
      <c r="E10" s="18" t="s">
        <v>179</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120</v>
      </c>
      <c r="B11" s="15" t="s">
        <v>177</v>
      </c>
      <c r="C11" s="18" t="s">
        <v>178</v>
      </c>
      <c r="D11" s="18" t="n">
        <v>1</v>
      </c>
      <c r="E11" s="18" t="s">
        <v>179</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189</v>
      </c>
    </row>
    <row r="12" customFormat="false" ht="15" hidden="false" customHeight="false" outlineLevel="0" collapsed="false">
      <c r="A12" s="15" t="s">
        <v>125</v>
      </c>
      <c r="B12" s="15" t="s">
        <v>177</v>
      </c>
      <c r="C12" s="18" t="s">
        <v>178</v>
      </c>
      <c r="D12" s="18" t="n">
        <v>1</v>
      </c>
      <c r="E12" s="18" t="s">
        <v>179</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190</v>
      </c>
    </row>
    <row r="13" customFormat="false" ht="15" hidden="false" customHeight="false" outlineLevel="0" collapsed="false">
      <c r="A13" s="15" t="s">
        <v>125</v>
      </c>
      <c r="B13" s="15" t="s">
        <v>191</v>
      </c>
      <c r="C13" s="18" t="s">
        <v>192</v>
      </c>
      <c r="D13" s="18" t="n">
        <v>1</v>
      </c>
      <c r="E13" s="18" t="s">
        <v>179</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193</v>
      </c>
    </row>
    <row r="14" customFormat="false" ht="15" hidden="false" customHeight="false" outlineLevel="0" collapsed="false">
      <c r="A14" s="15" t="s">
        <v>129</v>
      </c>
      <c r="B14" s="15" t="s">
        <v>181</v>
      </c>
      <c r="C14" s="18" t="s">
        <v>178</v>
      </c>
      <c r="D14" s="18" t="n">
        <v>1</v>
      </c>
      <c r="E14" s="18" t="s">
        <v>179</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134</v>
      </c>
      <c r="B15" s="15" t="s">
        <v>181</v>
      </c>
      <c r="C15" s="18" t="s">
        <v>185</v>
      </c>
      <c r="D15" s="18" t="n">
        <v>1</v>
      </c>
      <c r="E15" s="18" t="s">
        <v>179</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194</v>
      </c>
    </row>
    <row r="17" customFormat="false" ht="15" hidden="false" customHeight="false" outlineLevel="0" collapsed="false">
      <c r="A17" s="2" t="s">
        <v>139</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195</v>
      </c>
    </row>
    <row r="20" customFormat="false" ht="33.75" hidden="false" customHeight="true" outlineLevel="0" collapsed="false">
      <c r="A20" s="35" t="s">
        <v>196</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197</v>
      </c>
    </row>
    <row r="3" customFormat="false" ht="31.5" hidden="false" customHeight="true" outlineLevel="0" collapsed="false">
      <c r="A3" s="6" t="s">
        <v>162</v>
      </c>
      <c r="B3" s="6" t="s">
        <v>167</v>
      </c>
      <c r="C3" s="6" t="s">
        <v>198</v>
      </c>
      <c r="D3" s="6" t="s">
        <v>199</v>
      </c>
      <c r="E3" s="6" t="s">
        <v>200</v>
      </c>
      <c r="F3" s="6" t="s">
        <v>201</v>
      </c>
      <c r="G3" s="6" t="s">
        <v>202</v>
      </c>
      <c r="H3" s="6" t="s">
        <v>203</v>
      </c>
      <c r="I3" s="6" t="s">
        <v>61</v>
      </c>
      <c r="J3" s="6" t="s">
        <v>204</v>
      </c>
      <c r="K3" s="6" t="s">
        <v>205</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206</v>
      </c>
      <c r="G7" s="18" t="s">
        <v>207</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206</v>
      </c>
      <c r="G13" s="18" t="s">
        <v>208</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139</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209</v>
      </c>
      <c r="E15" s="39" t="n">
        <f aca="false">SUMIFS(E4:E13,F4:F13,"Regrettable")</f>
        <v>-23000</v>
      </c>
      <c r="F15" s="39" t="n">
        <f aca="false">SUMIFS(E4:E13,F4:F13,"Non-regrettable")</f>
        <v>0</v>
      </c>
      <c r="H15" s="39" t="n">
        <f aca="false">H14</f>
        <v>-3600</v>
      </c>
    </row>
    <row r="16" customFormat="false" ht="43.5" hidden="false" customHeight="true" outlineLevel="0" collapsed="false">
      <c r="A16" s="2" t="s">
        <v>210</v>
      </c>
      <c r="B16" s="35" t="s">
        <v>211</v>
      </c>
      <c r="C16" s="35"/>
      <c r="D16" s="35"/>
      <c r="E16" s="35"/>
      <c r="F16" s="35"/>
      <c r="G16" s="35"/>
      <c r="H16" s="35"/>
      <c r="I16" s="35"/>
      <c r="J16" s="35"/>
      <c r="K16" s="35"/>
    </row>
    <row r="17" customFormat="false" ht="15" hidden="false" customHeight="false" outlineLevel="0" collapsed="false">
      <c r="A17" s="2" t="s">
        <v>212</v>
      </c>
      <c r="B17" s="12" t="str">
        <f aca="false">COUNTIFS(E4:E13,"&lt;0",F4:F13,"")&amp;" opportunities with churn but no category"</f>
        <v>0 opportunities with churn but no category</v>
      </c>
    </row>
    <row r="18" customFormat="false" ht="15" hidden="false" customHeight="false" outlineLevel="0" collapsed="false">
      <c r="A18" s="12" t="s">
        <v>213</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214</v>
      </c>
    </row>
    <row r="3" customFormat="false" ht="31.5" hidden="false" customHeight="true" outlineLevel="0" collapsed="false">
      <c r="A3" s="6" t="s">
        <v>57</v>
      </c>
      <c r="B3" s="6" t="s">
        <v>56</v>
      </c>
      <c r="C3" s="6" t="s">
        <v>215</v>
      </c>
      <c r="D3" s="6" t="s">
        <v>47</v>
      </c>
      <c r="E3" s="6" t="s">
        <v>61</v>
      </c>
      <c r="F3" s="6" t="s">
        <v>216</v>
      </c>
      <c r="G3" s="6" t="s">
        <v>217</v>
      </c>
      <c r="H3" s="6" t="s">
        <v>218</v>
      </c>
      <c r="I3" s="6" t="s">
        <v>219</v>
      </c>
      <c r="J3" s="6" t="s">
        <v>220</v>
      </c>
    </row>
    <row r="4" customFormat="false" ht="15" hidden="false" customHeight="false" outlineLevel="0" collapsed="false">
      <c r="A4" s="15" t="s">
        <v>221</v>
      </c>
      <c r="B4" s="15" t="s">
        <v>222</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221</v>
      </c>
      <c r="B5" s="15" t="s">
        <v>223</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221</v>
      </c>
      <c r="B6" s="15" t="s">
        <v>224</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225</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226</v>
      </c>
    </row>
    <row r="2" customFormat="false" ht="15" hidden="false" customHeight="false" outlineLevel="0" collapsed="false">
      <c r="A2" s="5" t="s">
        <v>227</v>
      </c>
    </row>
    <row r="4" customFormat="false" ht="31.5" hidden="false" customHeight="true" outlineLevel="0" collapsed="false">
      <c r="A4" s="6" t="s">
        <v>34</v>
      </c>
      <c r="B4" s="6" t="s">
        <v>228</v>
      </c>
      <c r="C4" s="6" t="s">
        <v>229</v>
      </c>
      <c r="D4" s="6" t="s">
        <v>230</v>
      </c>
      <c r="E4" s="6" t="s">
        <v>231</v>
      </c>
      <c r="F4" s="6" t="s">
        <v>232</v>
      </c>
      <c r="G4" s="6" t="s">
        <v>233</v>
      </c>
      <c r="H4" s="6" t="s">
        <v>234</v>
      </c>
    </row>
    <row r="5" customFormat="false" ht="15" hidden="false" customHeight="false" outlineLevel="0" collapsed="false">
      <c r="A5" s="7" t="s">
        <v>235</v>
      </c>
      <c r="B5" s="40" t="n">
        <v>0</v>
      </c>
      <c r="C5" s="40" t="n">
        <v>0</v>
      </c>
      <c r="D5" s="40" t="n">
        <v>0</v>
      </c>
      <c r="E5" s="40" t="n">
        <v>0</v>
      </c>
      <c r="F5" s="40" t="n">
        <v>0</v>
      </c>
      <c r="G5" s="8" t="s">
        <v>236</v>
      </c>
      <c r="H5" s="15" t="s">
        <v>73</v>
      </c>
    </row>
    <row r="6" customFormat="false" ht="15" hidden="false" customHeight="false" outlineLevel="0" collapsed="false">
      <c r="A6" s="7" t="s">
        <v>101</v>
      </c>
      <c r="B6" s="40" t="n">
        <v>0.05</v>
      </c>
      <c r="C6" s="40" t="n">
        <v>0.1</v>
      </c>
      <c r="D6" s="40" t="n">
        <v>0.2</v>
      </c>
      <c r="E6" s="40" t="n">
        <v>0.3</v>
      </c>
      <c r="F6" s="40" t="n">
        <v>0.35</v>
      </c>
      <c r="G6" s="8" t="s">
        <v>237</v>
      </c>
      <c r="H6" s="15" t="s">
        <v>73</v>
      </c>
    </row>
    <row r="7" customFormat="false" ht="15" hidden="false" customHeight="false" outlineLevel="0" collapsed="false">
      <c r="A7" s="7" t="s">
        <v>85</v>
      </c>
      <c r="B7" s="40" t="n">
        <v>0.1</v>
      </c>
      <c r="C7" s="40" t="n">
        <v>0.25</v>
      </c>
      <c r="D7" s="40" t="n">
        <v>0.35</v>
      </c>
      <c r="E7" s="40" t="n">
        <v>0.45</v>
      </c>
      <c r="F7" s="40" t="n">
        <v>0.5</v>
      </c>
      <c r="G7" s="8" t="s">
        <v>238</v>
      </c>
      <c r="H7" s="15" t="s">
        <v>73</v>
      </c>
    </row>
    <row r="8" customFormat="false" ht="15" hidden="false" customHeight="false" outlineLevel="0" collapsed="false">
      <c r="A8" s="7" t="s">
        <v>108</v>
      </c>
      <c r="B8" s="40" t="n">
        <v>0.2</v>
      </c>
      <c r="C8" s="40" t="n">
        <v>0.4</v>
      </c>
      <c r="D8" s="40" t="n">
        <v>0.5</v>
      </c>
      <c r="E8" s="40" t="n">
        <v>0.55</v>
      </c>
      <c r="F8" s="40" t="n">
        <v>0.55</v>
      </c>
      <c r="G8" s="8" t="s">
        <v>239</v>
      </c>
      <c r="H8" s="15" t="s">
        <v>73</v>
      </c>
    </row>
    <row r="9" customFormat="false" ht="15" hidden="false" customHeight="false" outlineLevel="0" collapsed="false">
      <c r="A9" s="7" t="s">
        <v>75</v>
      </c>
      <c r="B9" s="40" t="n">
        <v>0.5</v>
      </c>
      <c r="C9" s="40" t="n">
        <v>0.75</v>
      </c>
      <c r="D9" s="40" t="n">
        <v>0.7</v>
      </c>
      <c r="E9" s="40" t="n">
        <v>0.65</v>
      </c>
      <c r="F9" s="40" t="n">
        <v>0.6</v>
      </c>
      <c r="G9" s="8" t="s">
        <v>240</v>
      </c>
      <c r="H9" s="15" t="s">
        <v>73</v>
      </c>
    </row>
    <row r="10" customFormat="false" ht="15" hidden="false" customHeight="false" outlineLevel="0" collapsed="false">
      <c r="A10" s="7" t="s">
        <v>82</v>
      </c>
      <c r="B10" s="40" t="n">
        <v>0.7</v>
      </c>
      <c r="C10" s="40" t="n">
        <v>0.9</v>
      </c>
      <c r="D10" s="40" t="n">
        <v>0.85</v>
      </c>
      <c r="E10" s="40" t="n">
        <v>0.8</v>
      </c>
      <c r="F10" s="40" t="n">
        <v>0.75</v>
      </c>
      <c r="G10" s="8" t="s">
        <v>241</v>
      </c>
      <c r="H10" s="15" t="s">
        <v>73</v>
      </c>
    </row>
    <row r="11" customFormat="false" ht="15" hidden="false" customHeight="false" outlineLevel="0" collapsed="false">
      <c r="A11" s="7" t="s">
        <v>90</v>
      </c>
      <c r="B11" s="40" t="n">
        <v>0.95</v>
      </c>
      <c r="C11" s="40" t="n">
        <v>0.99</v>
      </c>
      <c r="D11" s="40" t="n">
        <v>0.97</v>
      </c>
      <c r="E11" s="40" t="n">
        <v>0.95</v>
      </c>
      <c r="F11" s="40" t="n">
        <v>0.9</v>
      </c>
      <c r="G11" s="8" t="s">
        <v>242</v>
      </c>
      <c r="H11" s="15" t="s">
        <v>73</v>
      </c>
    </row>
    <row r="12" customFormat="false" ht="15" hidden="false" customHeight="false" outlineLevel="0" collapsed="false">
      <c r="A12" s="7" t="s">
        <v>243</v>
      </c>
      <c r="B12" s="40" t="n">
        <v>1</v>
      </c>
      <c r="C12" s="40" t="n">
        <v>1</v>
      </c>
      <c r="D12" s="40" t="n">
        <v>1</v>
      </c>
      <c r="E12" s="40" t="n">
        <v>1</v>
      </c>
      <c r="F12" s="40" t="n">
        <v>1</v>
      </c>
      <c r="G12" s="8" t="s">
        <v>244</v>
      </c>
      <c r="H12" s="15" t="s">
        <v>73</v>
      </c>
    </row>
    <row r="13" customFormat="false" ht="15" hidden="false" customHeight="false" outlineLevel="0" collapsed="false">
      <c r="A13" s="7" t="s">
        <v>245</v>
      </c>
      <c r="B13" s="40" t="n">
        <v>0</v>
      </c>
      <c r="C13" s="40" t="n">
        <v>0</v>
      </c>
      <c r="D13" s="40" t="n">
        <v>0</v>
      </c>
      <c r="E13" s="40" t="n">
        <v>0</v>
      </c>
      <c r="F13" s="40" t="n">
        <v>0</v>
      </c>
      <c r="G13" s="8" t="s">
        <v>246</v>
      </c>
      <c r="H13" s="15" t="s">
        <v>247</v>
      </c>
    </row>
    <row r="14" customFormat="false" ht="26.85" hidden="false" customHeight="false" outlineLevel="0" collapsed="false">
      <c r="A14" s="7" t="s">
        <v>98</v>
      </c>
      <c r="B14" s="40" t="n">
        <v>0.4</v>
      </c>
      <c r="C14" s="40" t="n">
        <v>0.97</v>
      </c>
      <c r="D14" s="40" t="n">
        <v>0.95</v>
      </c>
      <c r="E14" s="40" t="n">
        <v>0.92</v>
      </c>
      <c r="F14" s="40" t="n">
        <v>0.9</v>
      </c>
      <c r="G14" s="8" t="s">
        <v>248</v>
      </c>
      <c r="H14" s="15" t="s">
        <v>92</v>
      </c>
    </row>
    <row r="15" customFormat="false" ht="26.85" hidden="false" customHeight="false" outlineLevel="0" collapsed="false">
      <c r="A15" s="7" t="s">
        <v>93</v>
      </c>
      <c r="B15" s="40" t="n">
        <v>0.4</v>
      </c>
      <c r="C15" s="40" t="n">
        <v>0.6</v>
      </c>
      <c r="D15" s="40" t="n">
        <v>0.7</v>
      </c>
      <c r="E15" s="40" t="n">
        <v>0.75</v>
      </c>
      <c r="F15" s="40" t="n">
        <v>0.8</v>
      </c>
      <c r="G15" s="8" t="s">
        <v>249</v>
      </c>
      <c r="H15" s="15" t="s">
        <v>92</v>
      </c>
    </row>
    <row r="16" customFormat="false" ht="26.85" hidden="false" customHeight="false" outlineLevel="0" collapsed="false">
      <c r="A16" s="7" t="s">
        <v>135</v>
      </c>
      <c r="B16" s="40" t="n">
        <v>0.2</v>
      </c>
      <c r="C16" s="40" t="n">
        <v>0.35</v>
      </c>
      <c r="D16" s="40" t="n">
        <v>0.4</v>
      </c>
      <c r="E16" s="40" t="n">
        <v>0.45</v>
      </c>
      <c r="F16" s="40" t="n">
        <v>0.5</v>
      </c>
      <c r="G16" s="8" t="s">
        <v>250</v>
      </c>
      <c r="H16" s="15" t="s">
        <v>92</v>
      </c>
    </row>
    <row r="17" customFormat="false" ht="26.85" hidden="false" customHeight="false" outlineLevel="0" collapsed="false">
      <c r="A17" s="7" t="s">
        <v>251</v>
      </c>
      <c r="B17" s="40" t="n">
        <v>0.5</v>
      </c>
      <c r="C17" s="40" t="n">
        <v>0.8</v>
      </c>
      <c r="D17" s="40" t="n">
        <v>0.8</v>
      </c>
      <c r="E17" s="40" t="n">
        <v>0.8</v>
      </c>
      <c r="F17" s="40" t="n">
        <v>0.8</v>
      </c>
      <c r="G17" s="8" t="s">
        <v>252</v>
      </c>
      <c r="H17" s="15" t="s">
        <v>92</v>
      </c>
    </row>
    <row r="18" customFormat="false" ht="26.85" hidden="false" customHeight="false" outlineLevel="0" collapsed="false">
      <c r="A18" s="7" t="s">
        <v>253</v>
      </c>
      <c r="B18" s="40" t="n">
        <v>0</v>
      </c>
      <c r="C18" s="40" t="n">
        <v>0.1</v>
      </c>
      <c r="D18" s="40" t="n">
        <v>0.1</v>
      </c>
      <c r="E18" s="40" t="n">
        <v>0.1</v>
      </c>
      <c r="F18" s="40" t="n">
        <v>0.1</v>
      </c>
      <c r="G18" s="8" t="s">
        <v>254</v>
      </c>
      <c r="H18" s="15" t="s">
        <v>92</v>
      </c>
    </row>
    <row r="19" customFormat="false" ht="15" hidden="false" customHeight="false" outlineLevel="0" collapsed="false">
      <c r="A19" s="7" t="s">
        <v>255</v>
      </c>
      <c r="B19" s="40" t="n">
        <v>1</v>
      </c>
      <c r="C19" s="40" t="n">
        <v>1</v>
      </c>
      <c r="D19" s="40" t="n">
        <v>1</v>
      </c>
      <c r="E19" s="40" t="n">
        <v>1</v>
      </c>
      <c r="F19" s="40" t="n">
        <v>1</v>
      </c>
      <c r="G19" s="8" t="s">
        <v>256</v>
      </c>
      <c r="H19" s="15" t="s">
        <v>92</v>
      </c>
    </row>
    <row r="21" customFormat="false" ht="15" hidden="false" customHeight="true" outlineLevel="0" collapsed="false">
      <c r="A21" s="2" t="s">
        <v>15</v>
      </c>
      <c r="B21" s="35" t="s">
        <v>257</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258</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259</v>
      </c>
    </row>
    <row r="3" customFormat="false" ht="31.5" hidden="false" customHeight="true" outlineLevel="0" collapsed="false">
      <c r="A3" s="6" t="s">
        <v>260</v>
      </c>
      <c r="B3" s="6" t="s">
        <v>261</v>
      </c>
      <c r="C3" s="6" t="s">
        <v>262</v>
      </c>
    </row>
    <row r="4" customFormat="false" ht="15" hidden="false" customHeight="false" outlineLevel="0" collapsed="false">
      <c r="A4" s="8" t="s">
        <v>263</v>
      </c>
      <c r="B4" s="8" t="s">
        <v>264</v>
      </c>
      <c r="C4" s="8" t="s">
        <v>265</v>
      </c>
    </row>
    <row r="5" customFormat="false" ht="15" hidden="false" customHeight="false" outlineLevel="0" collapsed="false">
      <c r="A5" s="8" t="s">
        <v>266</v>
      </c>
      <c r="B5" s="8" t="s">
        <v>267</v>
      </c>
      <c r="C5" s="8" t="s">
        <v>268</v>
      </c>
    </row>
    <row r="6" customFormat="false" ht="15" hidden="false" customHeight="false" outlineLevel="0" collapsed="false">
      <c r="A6" s="8" t="s">
        <v>269</v>
      </c>
      <c r="B6" s="8" t="s">
        <v>270</v>
      </c>
      <c r="C6" s="8" t="s">
        <v>271</v>
      </c>
    </row>
    <row r="7" customFormat="false" ht="15" hidden="false" customHeight="false" outlineLevel="0" collapsed="false">
      <c r="A7" s="8" t="s">
        <v>272</v>
      </c>
      <c r="B7" s="8" t="s">
        <v>273</v>
      </c>
      <c r="C7" s="8" t="s">
        <v>274</v>
      </c>
    </row>
    <row r="8" customFormat="false" ht="15" hidden="false" customHeight="false" outlineLevel="0" collapsed="false">
      <c r="A8" s="8" t="s">
        <v>185</v>
      </c>
      <c r="B8" s="8" t="s">
        <v>275</v>
      </c>
      <c r="C8" s="8" t="s">
        <v>276</v>
      </c>
    </row>
    <row r="9" customFormat="false" ht="15" hidden="false" customHeight="false" outlineLevel="0" collapsed="false">
      <c r="A9" s="8" t="s">
        <v>277</v>
      </c>
      <c r="B9" s="8" t="s">
        <v>278</v>
      </c>
      <c r="C9" s="8" t="s">
        <v>279</v>
      </c>
    </row>
    <row r="10" customFormat="false" ht="15" hidden="false" customHeight="false" outlineLevel="0" collapsed="false">
      <c r="A10" s="8" t="s">
        <v>280</v>
      </c>
      <c r="B10" s="8" t="s">
        <v>281</v>
      </c>
      <c r="C10" s="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2026-10-26T10:55:35Z</dcterms:created>
  <dc:creator>openpyxl</dc:creator>
  <dc:description/>
  <dc:language>en-US</dc:language>
  <cp:lastModifiedBy/>
  <dcterms:modified xsi:type="dcterms:W3CDTF">2026-10-26T10:55:35Z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