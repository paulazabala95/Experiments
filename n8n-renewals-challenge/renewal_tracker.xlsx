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<sst xmlns="http://schemas.openxmlformats.org/spreadsheetml/2006/main" count="403" uniqueCount="278">
  <si>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</si>
  <si>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</si>
  <si>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</si>
  <si>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</si>
  <si>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</si>
  <si>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</si>
  <si>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</si>
  <si>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</si>
  <si>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</si>
  <si>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</si>
  <si>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</si>
  <si>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</si>
  <si>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</si>
  <si>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</si>
  <si>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</si>
  <si>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</si>
  <si>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</si>
  <si>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</si>
  <si>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</si>
  <si>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</si>
  <si>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CSM only sets the line type (Renewal / Upsell / Downgrade / Churn) and the new numbers. Original ARR, uplift, list price, new ARR and Δ (green/red) recalculate.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</si>
  <si>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</si>
  <si>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</si>
  <si>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</si>
  <si>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</si>
  <si>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</si>
  <si>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</si>
  <si>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</si>
  <si>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</si>
  <si>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</si>
  <si>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</si>
  <si>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</si>
  <si>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</si>
  <si>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</si>
  <si>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</si>
  <si>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</si>
  <si>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</si>
  <si>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</si>
  <si>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</si>
  <si>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</si>
  <si>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</si>
  <si>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</si>
  <si>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</si>
  <si>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</si>
  <si>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</si>
  <si>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</si>
  <si>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AF-AH: the forecast after this week's actions.</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</si>
  <si>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</si>
  <si>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</si>
  <si>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</si>
  <si>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</si>
  <si>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</si>
  <si>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</si>
  <si>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</si>
  <si>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</si>
  <si>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</si>
  <si>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</si>
  <si>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</si>
  <si>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</si>
  <si>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</si>
  <si>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</si>
  <si>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</si>
  <si>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</si>
  <si>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</si>
  <si>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</si>
  <si>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</si>
  <si>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</si>
  <si>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</si>
  <si>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</si>
  <si>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</si>
  <si>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</si>
  <si>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</si>
  <si>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</si>
  <si>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</si>
  <si>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</si>
  <si>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</si>
  <si>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</si>
  <si>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</si>
  <si>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</si>
  <si>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</si>
  <si>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</si>
  <si>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</si>
  <si>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</si>
  <si>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</si>
  <si>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</si>
  <si>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€50.4k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</si>
  <si>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</si>
  <si>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</si>
  <si>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</si>
  <si>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</si>
  <si>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</si>
  <si>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</si>
  <si>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</si>
  <si>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€27.3k with the contractual 5% uplift.</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</si>
  <si>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</si>
  <si>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</si>
  <si>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</si>
  <si>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</si>
  <si>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</si>
  <si>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</si>
  <si>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</si>
  <si>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</si>
  <si>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</si>
  <si>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</si>
  <si>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</si>
  <si>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</si>
  <si>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</si>
  <si>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</si>
  <si>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</si>
  <si>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</si>
  <si>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</si>
  <si>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</si>
  <si>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</si>
  <si>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</si>
  <si>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</si>
  <si>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</si>
  <si>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</si>
  <si>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</si>
  <si>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</si>
  <si>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</si>
  <si>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</si>
  <si>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</si>
  <si>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</si>
  <si>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</si>
  <si>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</si>
  <si>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(€36.75k)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</si>
  <si>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</si>
  <si>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</si>
  <si>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</si>
  <si>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</si>
  <si>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</si>
  <si>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</si>
  <si>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</si>
  <si>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</si>
  <si>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</si>
  <si>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</si>
  <si>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</si>
  <si>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</si>
  <si>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</si>
  <si>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</si>
  <si>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</si>
  <si>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</si>
  <si>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</si>
  <si>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</si>
  <si>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</si>
  <si>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</si>
  <si>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</si>
  <si>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</si>
  <si>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</si>
  <si>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</si>
  <si>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</si>
  <si>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 incl. 5% uplift)</t>
  </si>
  <si>
    <t xml:space="preserve">Weighted today (statuses from what we know)</t>
  </si>
  <si>
    <t xml:space="preserve">Weighted by 30 Oct, if this week's actions land</t>
  </si>
  <si>
    <t xml:space="preserve">Uplift from this week's actions</t>
  </si>
  <si>
    <t xml:space="preserve">Opportunity products: the CSM only sets the line type and the new numbers; everything else recalculates</t>
  </si>
  <si>
    <t xml:space="preserve">CSM inputs (yellow): line type and change at list. Original ARR comes from the closed renewal. Uplift is automatic: 5% on every renewal line in year 1.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</si>
  <si>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</si>
  <si>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</si>
  <si>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</si>
  <si>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</si>
  <si>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</si>
  <si>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</si>
  <si>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</si>
  <si>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Uplift % (yr 1)</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</si>
  <si>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</si>
  <si>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</si>
  <si>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</si>
  <si>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</si>
  <si>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</si>
  <si>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</si>
  <si>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</si>
  <si>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</si>
  <si>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</si>
  <si>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</si>
  <si>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includes 5% uplift</t>
  </si>
  <si>
    <t xml:space="preserve">n8n Cloud Enterprise</t>
  </si>
  <si>
    <t xml:space="preserve">Usage +12%: check cap next quarter</t>
  </si>
  <si>
    <t xml:space="preserve">Uplift is contractual (annual notice in January)</t>
  </si>
  <si>
    <t xml:space="preserve">n8n Enterprise (self-hosted)</t>
  </si>
  <si>
    <t xml:space="preserve">Downgrade</t>
  </si>
  <si>
    <t xml:space="preserve">Right-sized at list (assumed €30k)</t>
  </si>
  <si>
    <t xml:space="preserve">n8n Enterprise</t>
  </si>
  <si>
    <t xml:space="preserve">Placeholder until Part 2 is agreed</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</si>
  <si>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</si>
  <si>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</si>
  <si>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</si>
  <si>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</si>
  <si>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</si>
  <si>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</si>
  <si>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</si>
  <si>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</si>
  <si>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</si>
  <si>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</si>
  <si>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</si>
  <si>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</si>
  <si>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</si>
  <si>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</si>
  <si>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</si>
  <si>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</si>
  <si>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</si>
  <si>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</si>
  <si>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</si>
  <si>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</si>
  <si>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</si>
  <si>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</si>
  <si>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</si>
  <si>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</si>
  <si>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</si>
  <si>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</si>
  <si>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</si>
  <si>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</si>
  <si>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</si>
  <si>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</si>
  <si>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</si>
  <si>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</si>
  <si>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</si>
  <si>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</si>
  <si>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</si>
  <si>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</si>
  <si>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</si>
  <si>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</si>
  <si>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</si>
  <si>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</si>
  <si>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</si>
  <si>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</si>
  <si>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</si>
  <si>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</si>
  <si>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</si>
  <si>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</si>
  <si>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</si>
  <si>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</si>
  <si>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</si>
  <si>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</si>
  <si>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</si>
  <si>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</si>
  <si>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</si>
  <si>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</si>
  <si>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</si>
  <si>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</si>
  <si>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</si>
  <si>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</si>
  <si>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</si>
  <si>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uplift notice sent,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</si>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</sst>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0;[RED]&quot;-€&quot;#,##0;\-"/>
    <numFmt numFmtId="166" formatCode="dd\ mmm\ yyyy"/>
    <numFmt numFmtId="167" formatCode="General"/>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2B2B3C"/>
        <bgColor rgb="FF333300"/>
      </patternFill>
    </fill>
    <fill>
      <patternFill patternType="solid">
        <fgColor rgb="FFFFF2CC"/>
        <bgColor rgb="FFFFF3CD"/>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11"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€50.4k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8"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11"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8"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11"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€27.3k with the contractual 5% uplift.</v>
      </c>
      <c r="I7" s="8" t="str">
        <f aca="false">INDEX(Pipeline!$W$5:$W$14,MATCH($A7,Pipeline!$Y$5:$Y$14,0))</f>
        <v>CSM</v>
      </c>
      <c r="J7" s="8" t="str">
        <f aca="false">INDEX(Pipeline!$AA$5:$AA$14,MATCH($A7,Pipeline!$Y$5:$Y$14,0))&amp;""</f>
        <v>Me, Finance</v>
      </c>
      <c r="K7" s="10" t="n">
        <f aca="false">INDEX(Pipeline!$X$5:$X$14,MATCH($A7,Pipeline!$Y$5:$Y$14,0))</f>
        <v>46317</v>
      </c>
      <c r="L7" s="8"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11"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8"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11"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8"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11"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8"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11"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8"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11"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(€36.75k)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8"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11"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8"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11"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8"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row>
    <row r="5" customFormat="false" ht="48" hidden="false" customHeight="true" outlineLevel="0" collapsed="false">
      <c r="A5" s="15" t="s">
        <v>70</v>
      </c>
      <c r="B5" s="16" t="n">
        <v>21000</v>
      </c>
      <c r="C5" s="17" t="n">
        <v>46310</v>
      </c>
      <c r="D5" s="18" t="s">
        <v>71</v>
      </c>
      <c r="E5" s="19" t="n">
        <v>0</v>
      </c>
      <c r="F5" s="18" t="s">
        <v>72</v>
      </c>
      <c r="G5" s="18" t="s">
        <v>73</v>
      </c>
      <c r="H5" s="20" t="s">
        <v>74</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22050</v>
      </c>
      <c r="T5" s="23" t="n">
        <f aca="false">S5*R5</f>
        <v>11025</v>
      </c>
      <c r="U5" s="15" t="str">
        <f aca="false">IF(G5="Cancelled","Lost",IF(Q5="No","Slips quarter",IF(OR(J5&lt;0,AND(J5&lt;=30,OR(G5="--None--",G5="Not started",G5="Engaging customer",G5="Negotiation",G5="Billing blocker",G5="At risk: before notice deadline",G5="Notice received"))),"Late","On time")))</f>
        <v>Late</v>
      </c>
      <c r="V5" s="20" t="s">
        <v>75</v>
      </c>
      <c r="W5" s="18" t="s">
        <v>76</v>
      </c>
      <c r="X5" s="17" t="n">
        <v>46316</v>
      </c>
      <c r="Y5" s="18" t="n">
        <v>2</v>
      </c>
      <c r="Z5" s="20" t="s">
        <v>77</v>
      </c>
      <c r="AA5" s="20" t="s">
        <v>78</v>
      </c>
      <c r="AB5" s="20" t="s">
        <v>79</v>
      </c>
      <c r="AC5" s="18"/>
      <c r="AD5" s="21" t="str">
        <f aca="false">IF(AC5="","",C5-AC5)</f>
        <v/>
      </c>
      <c r="AE5" s="8" t="str">
        <f aca="false">IF(E5&gt;=0.2,"Over-usage: open Upsell opp + CSM/Renewals task",IF(E5&lt;=-0.2,"Under-usage: flag CSM"&amp;IF(D5="Auto","; set At risk",""),""))</f>
        <v/>
      </c>
      <c r="AF5" s="20" t="s">
        <v>80</v>
      </c>
      <c r="AG5" s="22" t="n">
        <f aca="false">IF(I5&lt;=O5,INDEX(Probability!$B$5:$F$19,MATCH(AF5,Probability!$A$5:$A$19,0),MATCH(IF(C5-$E$2&lt;0,"Overdue",IF(C5-$E$2&lt;=30,"0-30",IF(C5-$E$2&lt;=60,"31-60",IF(C5-$E$2&lt;=90,"61-90","&gt;90")))),Probability!$B$4:$F$4,0)),0)</f>
        <v>0.7</v>
      </c>
      <c r="AH5" s="23" t="n">
        <f aca="false">S5*AG5</f>
        <v>15435</v>
      </c>
    </row>
    <row r="6" customFormat="false" ht="48" hidden="false" customHeight="true" outlineLevel="0" collapsed="false">
      <c r="A6" s="15" t="s">
        <v>81</v>
      </c>
      <c r="B6" s="16" t="n">
        <v>48000</v>
      </c>
      <c r="C6" s="17" t="n">
        <v>46324</v>
      </c>
      <c r="D6" s="18" t="s">
        <v>71</v>
      </c>
      <c r="E6" s="19" t="n">
        <v>0.12</v>
      </c>
      <c r="F6" s="18" t="s">
        <v>82</v>
      </c>
      <c r="G6" s="18" t="s">
        <v>83</v>
      </c>
      <c r="H6" s="20" t="s">
        <v>84</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50400</v>
      </c>
      <c r="T6" s="23" t="n">
        <f aca="false">S6*R6</f>
        <v>12600</v>
      </c>
      <c r="U6" s="15" t="str">
        <f aca="false">IF(G6="Cancelled","Lost",IF(Q6="No","Slips quarter",IF(OR(J6&lt;0,AND(J6&lt;=30,OR(G6="--None--",G6="Not started",G6="Engaging customer",G6="Negotiation",G6="Billing blocker",G6="At risk: before notice deadline",G6="Notice received"))),"Late","On time")))</f>
        <v>Late</v>
      </c>
      <c r="V6" s="20" t="s">
        <v>85</v>
      </c>
      <c r="W6" s="18" t="s">
        <v>76</v>
      </c>
      <c r="X6" s="17" t="n">
        <v>46315</v>
      </c>
      <c r="Y6" s="18" t="n">
        <v>1</v>
      </c>
      <c r="Z6" s="20" t="s">
        <v>86</v>
      </c>
      <c r="AA6" s="20" t="s">
        <v>87</v>
      </c>
      <c r="AB6" s="20"/>
      <c r="AC6" s="18"/>
      <c r="AD6" s="21" t="str">
        <f aca="false">IF(AC6="","",C6-AC6)</f>
        <v/>
      </c>
      <c r="AE6" s="8" t="str">
        <f aca="false">IF(E6&gt;=0.2,"Over-usage: open Upsell opp + CSM/Renewals task",IF(E6&lt;=-0.2,"Under-usage: flag CSM"&amp;IF(D6="Auto","; set At risk",""),""))</f>
        <v/>
      </c>
      <c r="AF6" s="20" t="s">
        <v>88</v>
      </c>
      <c r="AG6" s="22" t="n">
        <f aca="false">IF(I6&lt;=O6,INDEX(Probability!$B$5:$F$19,MATCH(AF6,Probability!$A$5:$A$19,0),MATCH(IF(C6-$E$2&lt;0,"Overdue",IF(C6-$E$2&lt;=30,"0-30",IF(C6-$E$2&lt;=60,"31-60",IF(C6-$E$2&lt;=90,"61-90","&gt;90")))),Probability!$B$4:$F$4,0)),0)</f>
        <v>0.95</v>
      </c>
      <c r="AH6" s="23" t="n">
        <f aca="false">S6*AG6</f>
        <v>47880</v>
      </c>
    </row>
    <row r="7" customFormat="false" ht="48" hidden="false" customHeight="true" outlineLevel="0" collapsed="false">
      <c r="A7" s="15" t="s">
        <v>89</v>
      </c>
      <c r="B7" s="16" t="n">
        <v>26000</v>
      </c>
      <c r="C7" s="17" t="n">
        <v>46328</v>
      </c>
      <c r="D7" s="18" t="s">
        <v>90</v>
      </c>
      <c r="E7" s="19" t="n">
        <v>0</v>
      </c>
      <c r="F7" s="18" t="s">
        <v>82</v>
      </c>
      <c r="G7" s="18" t="s">
        <v>91</v>
      </c>
      <c r="H7" s="20" t="s">
        <v>92</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27300</v>
      </c>
      <c r="T7" s="23" t="n">
        <f aca="false">S7*R7</f>
        <v>16380</v>
      </c>
      <c r="U7" s="15" t="str">
        <f aca="false">IF(G7="Cancelled","Lost",IF(Q7="No","Slips quarter",IF(OR(J7&lt;0,AND(J7&lt;=30,OR(G7="--None--",G7="Not started",G7="Engaging customer",G7="Negotiation",G7="Billing blocker",G7="At risk: before notice deadline",G7="Notice received"))),"Late","On time")))</f>
        <v>Late</v>
      </c>
      <c r="V7" s="20" t="s">
        <v>93</v>
      </c>
      <c r="W7" s="18" t="s">
        <v>87</v>
      </c>
      <c r="X7" s="17" t="n">
        <v>46317</v>
      </c>
      <c r="Y7" s="18" t="n">
        <v>3</v>
      </c>
      <c r="Z7" s="20" t="s">
        <v>94</v>
      </c>
      <c r="AA7" s="20" t="s">
        <v>95</v>
      </c>
      <c r="AB7" s="20"/>
      <c r="AC7" s="18" t="n">
        <v>30</v>
      </c>
      <c r="AD7" s="21" t="n">
        <f aca="false">IF(AC7="","",C7-AC7)</f>
        <v>46298</v>
      </c>
      <c r="AE7" s="8" t="str">
        <f aca="false">IF(E7&gt;=0.2,"Over-usage: open Upsell opp + CSM/Renewals task",IF(E7&lt;=-0.2,"Under-usage: flag CSM"&amp;IF(D7="Auto","; set At risk",""),""))</f>
        <v/>
      </c>
      <c r="AF7" s="20" t="s">
        <v>96</v>
      </c>
      <c r="AG7" s="22" t="n">
        <f aca="false">IF(I7&lt;=O7,INDEX(Probability!$B$5:$F$19,MATCH(AF7,Probability!$A$5:$A$19,0),MATCH(IF(C7-$E$2&lt;0,"Overdue",IF(C7-$E$2&lt;=30,"0-30",IF(C7-$E$2&lt;=60,"31-60",IF(C7-$E$2&lt;=90,"61-90","&gt;90")))),Probability!$B$4:$F$4,0)),0)</f>
        <v>0.97</v>
      </c>
      <c r="AH7" s="23" t="n">
        <f aca="false">S7*AG7</f>
        <v>26481</v>
      </c>
    </row>
    <row r="8" customFormat="false" ht="48" hidden="false" customHeight="true" outlineLevel="0" collapsed="false">
      <c r="A8" s="15" t="s">
        <v>97</v>
      </c>
      <c r="B8" s="16" t="n">
        <v>45000</v>
      </c>
      <c r="C8" s="17" t="n">
        <v>46333</v>
      </c>
      <c r="D8" s="18" t="s">
        <v>71</v>
      </c>
      <c r="E8" s="19" t="n">
        <v>-0.35</v>
      </c>
      <c r="F8" s="18" t="s">
        <v>98</v>
      </c>
      <c r="G8" s="18" t="s">
        <v>99</v>
      </c>
      <c r="H8" s="20" t="s">
        <v>100</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101</v>
      </c>
      <c r="W8" s="18" t="s">
        <v>87</v>
      </c>
      <c r="X8" s="17" t="n">
        <v>46318</v>
      </c>
      <c r="Y8" s="18" t="n">
        <v>4</v>
      </c>
      <c r="Z8" s="20" t="s">
        <v>102</v>
      </c>
      <c r="AA8" s="20" t="s">
        <v>103</v>
      </c>
      <c r="AB8" s="20" t="s">
        <v>104</v>
      </c>
      <c r="AC8" s="18" t="n">
        <v>30</v>
      </c>
      <c r="AD8" s="21" t="n">
        <f aca="false">IF(AC8="","",C8-AC8)</f>
        <v>46303</v>
      </c>
      <c r="AE8" s="8" t="str">
        <f aca="false">IF(E8&gt;=0.2,"Over-usage: open Upsell opp + CSM/Renewals task",IF(E8&lt;=-0.2,"Under-usage: flag CSM"&amp;IF(D8="Auto","; set At risk",""),""))</f>
        <v>Under-usage: flag CSM</v>
      </c>
      <c r="AF8" s="20" t="s">
        <v>83</v>
      </c>
      <c r="AG8" s="22" t="n">
        <f aca="false">IF(I8&lt;=O8,INDEX(Probability!$B$5:$F$19,MATCH(AF8,Probability!$A$5:$A$19,0),MATCH(IF(C8-$E$2&lt;0,"Overdue",IF(C8-$E$2&lt;=30,"0-30",IF(C8-$E$2&lt;=60,"31-60",IF(C8-$E$2&lt;=90,"61-90","&gt;90")))),Probability!$B$4:$F$4,0)),0)</f>
        <v>0.25</v>
      </c>
      <c r="AH8" s="23" t="n">
        <f aca="false">S8*AG8</f>
        <v>7500</v>
      </c>
    </row>
    <row r="9" customFormat="false" ht="48" hidden="false" customHeight="true" outlineLevel="0" collapsed="false">
      <c r="A9" s="15" t="s">
        <v>105</v>
      </c>
      <c r="B9" s="16" t="n">
        <v>36000</v>
      </c>
      <c r="C9" s="17" t="n">
        <v>46370</v>
      </c>
      <c r="D9" s="18" t="s">
        <v>71</v>
      </c>
      <c r="E9" s="19" t="n">
        <v>-0.1</v>
      </c>
      <c r="F9" s="18" t="s">
        <v>72</v>
      </c>
      <c r="G9" s="18" t="s">
        <v>106</v>
      </c>
      <c r="H9" s="20" t="s">
        <v>107</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33264</v>
      </c>
      <c r="T9" s="23" t="n">
        <f aca="false">S9*R9</f>
        <v>16632</v>
      </c>
      <c r="U9" s="15" t="str">
        <f aca="false">IF(G9="Cancelled","Lost",IF(Q9="No","Slips quarter",IF(OR(J9&lt;0,AND(J9&lt;=30,OR(G9="--None--",G9="Not started",G9="Engaging customer",G9="Negotiation",G9="Billing blocker",G9="At risk: before notice deadline",G9="Notice received"))),"Late","On time")))</f>
        <v>On time</v>
      </c>
      <c r="V9" s="20" t="s">
        <v>108</v>
      </c>
      <c r="W9" s="18" t="s">
        <v>76</v>
      </c>
      <c r="X9" s="17" t="n">
        <v>46315</v>
      </c>
      <c r="Y9" s="18" t="n">
        <v>6</v>
      </c>
      <c r="Z9" s="20" t="s">
        <v>109</v>
      </c>
      <c r="AA9" s="20" t="s">
        <v>110</v>
      </c>
      <c r="AB9" s="20"/>
      <c r="AC9" s="18"/>
      <c r="AD9" s="21" t="str">
        <f aca="false">IF(AC9="","",C9-AC9)</f>
        <v/>
      </c>
      <c r="AE9" s="8" t="str">
        <f aca="false">IF(E9&gt;=0.2,"Over-usage: open Upsell opp + CSM/Renewals task",IF(E9&lt;=-0.2,"Under-usage: flag CSM"&amp;IF(D9="Auto","; set At risk",""),""))</f>
        <v/>
      </c>
      <c r="AF9" s="20" t="s">
        <v>106</v>
      </c>
      <c r="AG9" s="22" t="n">
        <f aca="false">IF(I9&lt;=O9,INDEX(Probability!$B$5:$F$19,MATCH(AF9,Probability!$A$5:$A$19,0),MATCH(IF(C9-$E$2&lt;0,"Overdue",IF(C9-$E$2&lt;=30,"0-30",IF(C9-$E$2&lt;=60,"31-60",IF(C9-$E$2&lt;=90,"61-90","&gt;90")))),Probability!$B$4:$F$4,0)),0)</f>
        <v>0.5</v>
      </c>
      <c r="AH9" s="23" t="n">
        <f aca="false">S9*AG9</f>
        <v>16632</v>
      </c>
    </row>
    <row r="10" customFormat="false" ht="48" hidden="false" customHeight="true" outlineLevel="0" collapsed="false">
      <c r="A10" s="15" t="s">
        <v>111</v>
      </c>
      <c r="B10" s="16" t="n">
        <v>50000</v>
      </c>
      <c r="C10" s="17" t="n">
        <v>46344</v>
      </c>
      <c r="D10" s="18" t="s">
        <v>71</v>
      </c>
      <c r="E10" s="19" t="n">
        <v>0.05</v>
      </c>
      <c r="F10" s="18" t="s">
        <v>72</v>
      </c>
      <c r="G10" s="18" t="s">
        <v>106</v>
      </c>
      <c r="H10" s="20" t="s">
        <v>112</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52500</v>
      </c>
      <c r="T10" s="23" t="n">
        <f aca="false">S10*R10</f>
        <v>21000</v>
      </c>
      <c r="U10" s="15" t="str">
        <f aca="false">IF(G10="Cancelled","Lost",IF(Q10="No","Slips quarter",IF(OR(J10&lt;0,AND(J10&lt;=30,OR(G10="--None--",G10="Not started",G10="Engaging customer",G10="Negotiation",G10="Billing blocker",G10="At risk: before notice deadline",G10="Notice received"))),"Late","On time")))</f>
        <v>Late</v>
      </c>
      <c r="V10" s="20" t="s">
        <v>113</v>
      </c>
      <c r="W10" s="18" t="s">
        <v>114</v>
      </c>
      <c r="X10" s="17" t="n">
        <v>46318</v>
      </c>
      <c r="Y10" s="18" t="n">
        <v>5</v>
      </c>
      <c r="Z10" s="20" t="s">
        <v>115</v>
      </c>
      <c r="AA10" s="20" t="s">
        <v>116</v>
      </c>
      <c r="AB10" s="20" t="s">
        <v>117</v>
      </c>
      <c r="AC10" s="18"/>
      <c r="AD10" s="21" t="str">
        <f aca="false">IF(AC10="","",C10-AC10)</f>
        <v/>
      </c>
      <c r="AE10" s="8" t="str">
        <f aca="false">IF(E10&gt;=0.2,"Over-usage: open Upsell opp + CSM/Renewals task",IF(E10&lt;=-0.2,"Under-usage: flag CSM"&amp;IF(D10="Auto","; set At risk",""),""))</f>
        <v/>
      </c>
      <c r="AF10" s="20" t="s">
        <v>73</v>
      </c>
      <c r="AG10" s="22" t="n">
        <f aca="false">IF(I10&lt;=O10,INDEX(Probability!$B$5:$F$19,MATCH(AF10,Probability!$A$5:$A$19,0),MATCH(IF(C10-$E$2&lt;0,"Overdue",IF(C10-$E$2&lt;=30,"0-30",IF(C10-$E$2&lt;=60,"31-60",IF(C10-$E$2&lt;=90,"61-90","&gt;90")))),Probability!$B$4:$F$4,0)),0)</f>
        <v>0.75</v>
      </c>
      <c r="AH10" s="23" t="n">
        <f aca="false">S10*AG10</f>
        <v>39375</v>
      </c>
    </row>
    <row r="11" customFormat="false" ht="48" hidden="false" customHeight="true" outlineLevel="0" collapsed="false">
      <c r="A11" s="15" t="s">
        <v>118</v>
      </c>
      <c r="B11" s="16" t="n">
        <v>28000</v>
      </c>
      <c r="C11" s="17" t="n">
        <v>46347</v>
      </c>
      <c r="D11" s="18" t="s">
        <v>90</v>
      </c>
      <c r="E11" s="19" t="n">
        <v>0.08</v>
      </c>
      <c r="F11" s="18" t="s">
        <v>82</v>
      </c>
      <c r="G11" s="18" t="s">
        <v>91</v>
      </c>
      <c r="H11" s="20" t="s">
        <v>119</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29400</v>
      </c>
      <c r="T11" s="23" t="n">
        <f aca="false">S11*R11</f>
        <v>20580</v>
      </c>
      <c r="U11" s="15" t="str">
        <f aca="false">IF(G11="Cancelled","Lost",IF(Q11="No","Slips quarter",IF(OR(J11&lt;0,AND(J11&lt;=30,OR(G11="--None--",G11="Not started",G11="Engaging customer",G11="Negotiation",G11="Billing blocker",G11="At risk: before notice deadline",G11="Notice received"))),"Late","On time")))</f>
        <v>On time</v>
      </c>
      <c r="V11" s="20" t="s">
        <v>120</v>
      </c>
      <c r="W11" s="18" t="s">
        <v>76</v>
      </c>
      <c r="X11" s="17" t="n">
        <v>46317</v>
      </c>
      <c r="Y11" s="18" t="n">
        <v>9</v>
      </c>
      <c r="Z11" s="20" t="s">
        <v>121</v>
      </c>
      <c r="AA11" s="20" t="s">
        <v>122</v>
      </c>
      <c r="AB11" s="20"/>
      <c r="AC11" s="18" t="n">
        <v>30</v>
      </c>
      <c r="AD11" s="21" t="n">
        <f aca="false">IF(AC11="","",C11-AC11)</f>
        <v>46317</v>
      </c>
      <c r="AE11" s="8" t="str">
        <f aca="false">IF(E11&gt;=0.2,"Over-usage: open Upsell opp + CSM/Renewals task",IF(E11&lt;=-0.2,"Under-usage: flag CSM"&amp;IF(D11="Auto","; set At risk",""),""))</f>
        <v/>
      </c>
      <c r="AF11" s="20" t="s">
        <v>96</v>
      </c>
      <c r="AG11" s="22" t="n">
        <f aca="false">IF(I11&lt;=O11,INDEX(Probability!$B$5:$F$19,MATCH(AF11,Probability!$A$5:$A$19,0),MATCH(IF(C11-$E$2&lt;0,"Overdue",IF(C11-$E$2&lt;=30,"0-30",IF(C11-$E$2&lt;=60,"31-60",IF(C11-$E$2&lt;=90,"61-90","&gt;90")))),Probability!$B$4:$F$4,0)),0)</f>
        <v>0.97</v>
      </c>
      <c r="AH11" s="23" t="n">
        <f aca="false">S11*AG11</f>
        <v>28518</v>
      </c>
    </row>
    <row r="12" customFormat="false" ht="48" hidden="false" customHeight="true" outlineLevel="0" collapsed="false">
      <c r="A12" s="15" t="s">
        <v>123</v>
      </c>
      <c r="B12" s="16" t="n">
        <v>35000</v>
      </c>
      <c r="C12" s="17" t="n">
        <v>46354</v>
      </c>
      <c r="D12" s="18" t="s">
        <v>71</v>
      </c>
      <c r="E12" s="19" t="n">
        <v>0.4</v>
      </c>
      <c r="F12" s="18" t="s">
        <v>82</v>
      </c>
      <c r="G12" s="18" t="s">
        <v>99</v>
      </c>
      <c r="H12" s="20" t="s">
        <v>124</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36750</v>
      </c>
      <c r="T12" s="23" t="n">
        <f aca="false">S12*R12</f>
        <v>7350</v>
      </c>
      <c r="U12" s="15" t="str">
        <f aca="false">IF(G12="Cancelled","Lost",IF(Q12="No","Slips quarter",IF(OR(J12&lt;0,AND(J12&lt;=30,OR(G12="--None--",G12="Not started",G12="Engaging customer",G12="Negotiation",G12="Billing blocker",G12="At risk: before notice deadline",G12="Notice received"))),"Late","On time")))</f>
        <v>On time</v>
      </c>
      <c r="V12" s="20" t="s">
        <v>125</v>
      </c>
      <c r="W12" s="18" t="s">
        <v>87</v>
      </c>
      <c r="X12" s="17" t="n">
        <v>46323</v>
      </c>
      <c r="Y12" s="18" t="n">
        <v>8</v>
      </c>
      <c r="Z12" s="20" t="s">
        <v>126</v>
      </c>
      <c r="AA12" s="20" t="s">
        <v>76</v>
      </c>
      <c r="AB12" s="20"/>
      <c r="AC12" s="18"/>
      <c r="AD12" s="21" t="str">
        <f aca="false">IF(AC12="","",C12-AC12)</f>
        <v/>
      </c>
      <c r="AE12" s="8" t="str">
        <f aca="false">IF(E12&gt;=0.2,"Over-usage: open Upsell opp + CSM/Renewals task",IF(E12&lt;=-0.2,"Under-usage: flag CSM"&amp;IF(D12="Auto","; set At risk",""),""))</f>
        <v>Over-usage: open Upsell opp + CSM/Renewals task</v>
      </c>
      <c r="AF12" s="20" t="s">
        <v>73</v>
      </c>
      <c r="AG12" s="22" t="n">
        <f aca="false">IF(I12&lt;=O12,INDEX(Probability!$B$5:$F$19,MATCH(AF12,Probability!$A$5:$A$19,0),MATCH(IF(C12-$E$2&lt;0,"Overdue",IF(C12-$E$2&lt;=30,"0-30",IF(C12-$E$2&lt;=60,"31-60",IF(C12-$E$2&lt;=90,"61-90","&gt;90")))),Probability!$B$4:$F$4,0)),0)</f>
        <v>0.75</v>
      </c>
      <c r="AH12" s="23" t="n">
        <f aca="false">S12*AG12</f>
        <v>27562.5</v>
      </c>
    </row>
    <row r="13" customFormat="false" ht="48" hidden="false" customHeight="true" outlineLevel="0" collapsed="false">
      <c r="A13" s="15" t="s">
        <v>127</v>
      </c>
      <c r="B13" s="16" t="n">
        <v>46000</v>
      </c>
      <c r="C13" s="17" t="n">
        <v>46365</v>
      </c>
      <c r="D13" s="18" t="s">
        <v>71</v>
      </c>
      <c r="E13" s="19" t="n">
        <v>0</v>
      </c>
      <c r="F13" s="18" t="s">
        <v>72</v>
      </c>
      <c r="G13" s="18" t="s">
        <v>83</v>
      </c>
      <c r="H13" s="20" t="s">
        <v>128</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48300</v>
      </c>
      <c r="T13" s="23" t="n">
        <f aca="false">S13*R13</f>
        <v>16905</v>
      </c>
      <c r="U13" s="15" t="str">
        <f aca="false">IF(G13="Cancelled","Lost",IF(Q13="No","Slips quarter",IF(OR(J13&lt;0,AND(J13&lt;=30,OR(G13="--None--",G13="Not started",G13="Engaging customer",G13="Negotiation",G13="Billing blocker",G13="At risk: before notice deadline",G13="Notice received"))),"Late","On time")))</f>
        <v>On time</v>
      </c>
      <c r="V13" s="20" t="s">
        <v>129</v>
      </c>
      <c r="W13" s="18" t="s">
        <v>76</v>
      </c>
      <c r="X13" s="17" t="n">
        <v>46322</v>
      </c>
      <c r="Y13" s="18" t="n">
        <v>7</v>
      </c>
      <c r="Z13" s="20" t="s">
        <v>130</v>
      </c>
      <c r="AA13" s="20" t="s">
        <v>131</v>
      </c>
      <c r="AB13" s="20"/>
      <c r="AC13" s="18"/>
      <c r="AD13" s="21" t="str">
        <f aca="false">IF(AC13="","",C13-AC13)</f>
        <v/>
      </c>
      <c r="AE13" s="8" t="str">
        <f aca="false">IF(E13&gt;=0.2,"Over-usage: open Upsell opp + CSM/Renewals task",IF(E13&lt;=-0.2,"Under-usage: flag CSM"&amp;IF(D13="Auto","; set At risk",""),""))</f>
        <v/>
      </c>
      <c r="AF13" s="20" t="s">
        <v>73</v>
      </c>
      <c r="AG13" s="22" t="n">
        <f aca="false">IF(I13&lt;=O13,INDEX(Probability!$B$5:$F$19,MATCH(AF13,Probability!$A$5:$A$19,0),MATCH(IF(C13-$E$2&lt;0,"Overdue",IF(C13-$E$2&lt;=30,"0-30",IF(C13-$E$2&lt;=60,"31-60",IF(C13-$E$2&lt;=90,"61-90","&gt;90")))),Probability!$B$4:$F$4,0)),0)</f>
        <v>0.7</v>
      </c>
      <c r="AH13" s="23" t="n">
        <f aca="false">S13*AG13</f>
        <v>33810</v>
      </c>
    </row>
    <row r="14" customFormat="false" ht="48" hidden="false" customHeight="true" outlineLevel="0" collapsed="false">
      <c r="A14" s="15" t="s">
        <v>132</v>
      </c>
      <c r="B14" s="16" t="n">
        <v>40000</v>
      </c>
      <c r="C14" s="17" t="n">
        <v>46375</v>
      </c>
      <c r="D14" s="18" t="s">
        <v>90</v>
      </c>
      <c r="E14" s="19" t="n">
        <v>-0.2</v>
      </c>
      <c r="F14" s="18" t="s">
        <v>72</v>
      </c>
      <c r="G14" s="18" t="s">
        <v>133</v>
      </c>
      <c r="H14" s="20" t="s">
        <v>134</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135</v>
      </c>
      <c r="W14" s="18" t="s">
        <v>87</v>
      </c>
      <c r="X14" s="17" t="n">
        <v>46325</v>
      </c>
      <c r="Y14" s="18" t="n">
        <v>10</v>
      </c>
      <c r="Z14" s="20" t="s">
        <v>136</v>
      </c>
      <c r="AA14" s="20" t="s">
        <v>76</v>
      </c>
      <c r="AB14" s="20"/>
      <c r="AC14" s="18" t="n">
        <v>30</v>
      </c>
      <c r="AD14" s="21" t="n">
        <f aca="false">IF(AC14="","",C14-AC14)</f>
        <v>46345</v>
      </c>
      <c r="AE14" s="8" t="str">
        <f aca="false">IF(E14&gt;=0.2,"Over-usage: open Upsell opp + CSM/Renewals task",IF(E14&lt;=-0.2,"Under-usage: flag CSM"&amp;IF(D14="Auto","; set At risk",""),""))</f>
        <v>Under-usage: flag CSM; set At risk</v>
      </c>
      <c r="AF14" s="20" t="s">
        <v>133</v>
      </c>
      <c r="AG14" s="22" t="n">
        <f aca="false">IF(I14&lt;=O14,INDEX(Probability!$B$5:$F$19,MATCH(AF14,Probability!$A$5:$A$19,0),MATCH(IF(C14-$E$2&lt;0,"Overdue",IF(C14-$E$2&lt;=30,"0-30",IF(C14-$E$2&lt;=60,"31-60",IF(C14-$E$2&lt;=90,"61-90","&gt;90")))),Probability!$B$4:$F$4,0)),0)</f>
        <v>0.4</v>
      </c>
      <c r="AH14" s="23" t="n">
        <f aca="false">S14*AG14</f>
        <v>12800</v>
      </c>
    </row>
    <row r="15" customFormat="false" ht="15" hidden="false" customHeight="false" outlineLevel="0" collapsed="false">
      <c r="A15" s="2" t="s">
        <v>137</v>
      </c>
      <c r="B15" s="24" t="n">
        <f aca="false">SUM(B5:B14)</f>
        <v>375000</v>
      </c>
      <c r="S15" s="24" t="n">
        <f aca="false">SUM(S5:S14)</f>
        <v>361964</v>
      </c>
      <c r="T15" s="24" t="n">
        <f aca="false">SUM(T5:T14)</f>
        <v>138272</v>
      </c>
      <c r="AH15" s="24" t="n">
        <f aca="false">SUM(AH5:AH14)</f>
        <v>255993.5</v>
      </c>
    </row>
    <row r="18" customFormat="false" ht="15" hidden="false" customHeight="false" outlineLevel="0" collapsed="false">
      <c r="A18" s="25" t="s">
        <v>138</v>
      </c>
    </row>
    <row r="19" customFormat="false" ht="15" hidden="false" customHeight="false" outlineLevel="0" collapsed="false">
      <c r="A19" s="26" t="s">
        <v>139</v>
      </c>
      <c r="B19" s="26" t="s">
        <v>62</v>
      </c>
      <c r="C19" s="26" t="s">
        <v>140</v>
      </c>
      <c r="D19" s="26" t="s">
        <v>141</v>
      </c>
    </row>
    <row r="20" customFormat="false" ht="15" hidden="false" customHeight="false" outlineLevel="0" collapsed="false">
      <c r="A20" s="15" t="s">
        <v>142</v>
      </c>
      <c r="B20" s="23" t="n">
        <f aca="false">SUMIFS(T5:T14,U5:U14,"On time")</f>
        <v>74267</v>
      </c>
      <c r="C20" s="23" t="n">
        <f aca="false">SUMIFS(S5:S14,U5:U14,"On time")</f>
        <v>179714</v>
      </c>
      <c r="D20" s="15" t="str">
        <f aca="false">COUNTIFS(U5:U14,"On time")&amp;" renewals"</f>
        <v>5 renewals</v>
      </c>
    </row>
    <row r="21" customFormat="false" ht="15" hidden="false" customHeight="false" outlineLevel="0" collapsed="false">
      <c r="A21" s="15" t="s">
        <v>143</v>
      </c>
      <c r="B21" s="23" t="n">
        <f aca="false">SUMIFS(T5:T14,U5:U14,"Late")</f>
        <v>64005</v>
      </c>
      <c r="C21" s="23" t="n">
        <f aca="false">SUMIFS(S5:S14,U5:U14,"Late")</f>
        <v>182250</v>
      </c>
      <c r="D21" s="15" t="str">
        <f aca="false">COUNTIFS(U5:U14,"Late")&amp;" renewals"</f>
        <v>5 renewals</v>
      </c>
    </row>
    <row r="22" customFormat="false" ht="15" hidden="false" customHeight="false" outlineLevel="0" collapsed="false">
      <c r="A22" s="15" t="s">
        <v>144</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145</v>
      </c>
      <c r="B23" s="27" t="n">
        <f aca="false">SUM(B20:B22)</f>
        <v>138272</v>
      </c>
      <c r="C23" s="23" t="n">
        <f aca="false">SUM(C20:C22)</f>
        <v>361964</v>
      </c>
      <c r="D23" s="28"/>
    </row>
    <row r="24" customFormat="false" ht="15" hidden="false" customHeight="false" outlineLevel="0" collapsed="false">
      <c r="A24" s="2" t="s">
        <v>146</v>
      </c>
    </row>
    <row r="25" customFormat="false" ht="15" hidden="false" customHeight="false" outlineLevel="0" collapsed="false">
      <c r="A25" s="15" t="s">
        <v>147</v>
      </c>
      <c r="B25" s="29" t="n">
        <f aca="false">'Opp summary'!E15</f>
        <v>-23000</v>
      </c>
    </row>
    <row r="26" customFormat="false" ht="15" hidden="false" customHeight="false" outlineLevel="0" collapsed="false">
      <c r="A26" s="15" t="s">
        <v>148</v>
      </c>
      <c r="B26" s="29" t="n">
        <f aca="false">'Opp summary'!F15</f>
        <v>0</v>
      </c>
    </row>
    <row r="27" customFormat="false" ht="15" hidden="false" customHeight="false" outlineLevel="0" collapsed="false">
      <c r="A27" s="15" t="s">
        <v>149</v>
      </c>
      <c r="B27" s="29" t="n">
        <f aca="false">'Opp summary'!H15</f>
        <v>-2736</v>
      </c>
    </row>
    <row r="28" customFormat="false" ht="15" hidden="false" customHeight="false" outlineLevel="0" collapsed="false">
      <c r="A28" s="15" t="s">
        <v>150</v>
      </c>
      <c r="B28" s="30" t="n">
        <f aca="false">(B15+B25+B27)/B15</f>
        <v>0.931370666666667</v>
      </c>
    </row>
    <row r="29" customFormat="false" ht="15" hidden="false" customHeight="false" outlineLevel="0" collapsed="false">
      <c r="A29" s="15" t="s">
        <v>151</v>
      </c>
      <c r="B29" s="30" t="n">
        <f aca="false">S15/B15</f>
        <v>0.965237333333333</v>
      </c>
    </row>
    <row r="31" customFormat="false" ht="15" hidden="false" customHeight="false" outlineLevel="0" collapsed="false">
      <c r="A31" s="25" t="s">
        <v>13</v>
      </c>
    </row>
    <row r="32" customFormat="false" ht="15" hidden="false" customHeight="false" outlineLevel="0" collapsed="false">
      <c r="A32" s="15" t="s">
        <v>152</v>
      </c>
      <c r="B32" s="27" t="n">
        <f aca="false">T15</f>
        <v>138272</v>
      </c>
    </row>
    <row r="33" customFormat="false" ht="15" hidden="false" customHeight="false" outlineLevel="0" collapsed="false">
      <c r="A33" s="15" t="s">
        <v>153</v>
      </c>
      <c r="B33" s="27" t="n">
        <f aca="false">AH15</f>
        <v>255993.5</v>
      </c>
    </row>
    <row r="34" customFormat="false" ht="15" hidden="false" customHeight="false" outlineLevel="0" collapsed="false">
      <c r="A34" s="15" t="s">
        <v>154</v>
      </c>
      <c r="B34" s="27" t="n">
        <f aca="false">B33-B32</f>
        <v>117721.5</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155</v>
      </c>
    </row>
    <row r="2" customFormat="false" ht="57.75" hidden="false" customHeight="true" outlineLevel="0" collapsed="false">
      <c r="A2" s="31" t="s">
        <v>156</v>
      </c>
      <c r="B2" s="31"/>
      <c r="C2" s="31"/>
      <c r="D2" s="31"/>
      <c r="E2" s="31"/>
      <c r="F2" s="31"/>
      <c r="G2" s="31"/>
      <c r="H2" s="31"/>
      <c r="I2" s="31"/>
      <c r="J2" s="31"/>
      <c r="K2" s="31"/>
      <c r="L2" s="31"/>
      <c r="M2" s="31"/>
      <c r="N2" s="31"/>
    </row>
    <row r="4" customFormat="false" ht="31.5" hidden="false" customHeight="true" outlineLevel="0" collapsed="false">
      <c r="A4" s="6" t="s">
        <v>157</v>
      </c>
      <c r="B4" s="6" t="s">
        <v>158</v>
      </c>
      <c r="C4" s="6" t="s">
        <v>159</v>
      </c>
      <c r="D4" s="6" t="s">
        <v>160</v>
      </c>
      <c r="E4" s="6" t="s">
        <v>161</v>
      </c>
      <c r="F4" s="6" t="s">
        <v>162</v>
      </c>
      <c r="G4" s="6" t="s">
        <v>163</v>
      </c>
      <c r="H4" s="6" t="s">
        <v>164</v>
      </c>
      <c r="I4" s="6" t="s">
        <v>165</v>
      </c>
      <c r="J4" s="6" t="s">
        <v>166</v>
      </c>
      <c r="K4" s="6" t="s">
        <v>61</v>
      </c>
      <c r="L4" s="6" t="s">
        <v>167</v>
      </c>
      <c r="M4" s="6" t="s">
        <v>168</v>
      </c>
      <c r="N4" s="6" t="s">
        <v>169</v>
      </c>
      <c r="O4" s="6" t="s">
        <v>170</v>
      </c>
      <c r="P4" s="6" t="s">
        <v>171</v>
      </c>
    </row>
    <row r="5" customFormat="false" ht="15" hidden="false" customHeight="false" outlineLevel="0" collapsed="false">
      <c r="A5" s="15" t="s">
        <v>70</v>
      </c>
      <c r="B5" s="15" t="s">
        <v>172</v>
      </c>
      <c r="C5" s="18" t="s">
        <v>173</v>
      </c>
      <c r="D5" s="18" t="n">
        <v>1</v>
      </c>
      <c r="E5" s="18" t="s">
        <v>174</v>
      </c>
      <c r="F5" s="23" t="n">
        <v>21000</v>
      </c>
      <c r="G5" s="16" t="n">
        <v>0</v>
      </c>
      <c r="H5" s="22" t="n">
        <f aca="false">IF(C5="Renewal",0.05,0)</f>
        <v>0.05</v>
      </c>
      <c r="I5" s="19" t="n">
        <v>0</v>
      </c>
      <c r="J5" s="23" t="n">
        <f aca="false">IF(C5="Churn",0,F5*(1+H5)+G5)</f>
        <v>22050</v>
      </c>
      <c r="K5" s="23" t="n">
        <f aca="false">J5*(1-I5)</f>
        <v>22050</v>
      </c>
      <c r="L5" s="23" t="n">
        <f aca="false">K5-F5</f>
        <v>1050</v>
      </c>
      <c r="M5" s="22" t="n">
        <f aca="false">IF(F5=0,"new",L5/F5)</f>
        <v>0.05</v>
      </c>
      <c r="N5" s="15" t="str">
        <f aca="false">IF(I5=0,"None",IF(AND(D5&gt;=2,I5&lt;=0.05),"None (multi-year)",IF(I5&lt;=0.12,"Finance","VP Customer Success")))</f>
        <v>None</v>
      </c>
      <c r="O5" s="15" t="str">
        <f aca="false">IF(D5&lt;2,"n/a",IF(E5="Upfront","Locked (0%)","5% a year"))</f>
        <v>n/a</v>
      </c>
      <c r="P5" s="15" t="s">
        <v>175</v>
      </c>
    </row>
    <row r="6" customFormat="false" ht="15" hidden="false" customHeight="false" outlineLevel="0" collapsed="false">
      <c r="A6" s="15" t="s">
        <v>81</v>
      </c>
      <c r="B6" s="15" t="s">
        <v>176</v>
      </c>
      <c r="C6" s="18" t="s">
        <v>173</v>
      </c>
      <c r="D6" s="18" t="n">
        <v>1</v>
      </c>
      <c r="E6" s="18" t="s">
        <v>174</v>
      </c>
      <c r="F6" s="23" t="n">
        <v>48000</v>
      </c>
      <c r="G6" s="16" t="n">
        <v>0</v>
      </c>
      <c r="H6" s="22" t="n">
        <f aca="false">IF(C6="Renewal",0.05,0)</f>
        <v>0.05</v>
      </c>
      <c r="I6" s="19" t="n">
        <v>0</v>
      </c>
      <c r="J6" s="23" t="n">
        <f aca="false">IF(C6="Churn",0,F6*(1+H6)+G6)</f>
        <v>50400</v>
      </c>
      <c r="K6" s="23" t="n">
        <f aca="false">J6*(1-I6)</f>
        <v>50400</v>
      </c>
      <c r="L6" s="23" t="n">
        <f aca="false">K6-F6</f>
        <v>2400</v>
      </c>
      <c r="M6" s="22" t="n">
        <f aca="false">IF(F6=0,"new",L6/F6)</f>
        <v>0.05</v>
      </c>
      <c r="N6" s="15" t="str">
        <f aca="false">IF(I6=0,"None",IF(AND(D6&gt;=2,I6&lt;=0.05),"None (multi-year)",IF(I6&lt;=0.12,"Finance","VP Customer Success")))</f>
        <v>None</v>
      </c>
      <c r="O6" s="15" t="str">
        <f aca="false">IF(D6&lt;2,"n/a",IF(E6="Upfront","Locked (0%)","5% a year"))</f>
        <v>n/a</v>
      </c>
      <c r="P6" s="15" t="s">
        <v>177</v>
      </c>
    </row>
    <row r="7" customFormat="false" ht="15" hidden="false" customHeight="false" outlineLevel="0" collapsed="false">
      <c r="A7" s="15" t="s">
        <v>89</v>
      </c>
      <c r="B7" s="15" t="s">
        <v>172</v>
      </c>
      <c r="C7" s="18" t="s">
        <v>173</v>
      </c>
      <c r="D7" s="18" t="n">
        <v>1</v>
      </c>
      <c r="E7" s="18" t="s">
        <v>174</v>
      </c>
      <c r="F7" s="23" t="n">
        <v>26000</v>
      </c>
      <c r="G7" s="16" t="n">
        <v>0</v>
      </c>
      <c r="H7" s="22" t="n">
        <f aca="false">IF(C7="Renewal",0.05,0)</f>
        <v>0.05</v>
      </c>
      <c r="I7" s="19" t="n">
        <v>0</v>
      </c>
      <c r="J7" s="23" t="n">
        <f aca="false">IF(C7="Churn",0,F7*(1+H7)+G7)</f>
        <v>27300</v>
      </c>
      <c r="K7" s="23" t="n">
        <f aca="false">J7*(1-I7)</f>
        <v>27300</v>
      </c>
      <c r="L7" s="23" t="n">
        <f aca="false">K7-F7</f>
        <v>1300</v>
      </c>
      <c r="M7" s="22" t="n">
        <f aca="false">IF(F7=0,"new",L7/F7)</f>
        <v>0.05</v>
      </c>
      <c r="N7" s="15" t="str">
        <f aca="false">IF(I7=0,"None",IF(AND(D7&gt;=2,I7&lt;=0.05),"None (multi-year)",IF(I7&lt;=0.12,"Finance","VP Customer Success")))</f>
        <v>None</v>
      </c>
      <c r="O7" s="15" t="str">
        <f aca="false">IF(D7&lt;2,"n/a",IF(E7="Upfront","Locked (0%)","5% a year"))</f>
        <v>n/a</v>
      </c>
      <c r="P7" s="15" t="s">
        <v>178</v>
      </c>
    </row>
    <row r="8" customFormat="false" ht="15" hidden="false" customHeight="false" outlineLevel="0" collapsed="false">
      <c r="A8" s="15" t="s">
        <v>97</v>
      </c>
      <c r="B8" s="15" t="s">
        <v>179</v>
      </c>
      <c r="C8" s="18" t="s">
        <v>180</v>
      </c>
      <c r="D8" s="18" t="n">
        <v>1</v>
      </c>
      <c r="E8" s="18" t="s">
        <v>174</v>
      </c>
      <c r="F8" s="23" t="n">
        <v>45000</v>
      </c>
      <c r="G8" s="16" t="n">
        <v>-15000</v>
      </c>
      <c r="H8" s="22" t="n">
        <f aca="false">IF(C8="Renewal",0.05,0)</f>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181</v>
      </c>
    </row>
    <row r="9" customFormat="false" ht="15" hidden="false" customHeight="false" outlineLevel="0" collapsed="false">
      <c r="A9" s="15" t="s">
        <v>105</v>
      </c>
      <c r="B9" s="15" t="s">
        <v>182</v>
      </c>
      <c r="C9" s="18" t="s">
        <v>173</v>
      </c>
      <c r="D9" s="18" t="n">
        <v>2</v>
      </c>
      <c r="E9" s="18" t="s">
        <v>174</v>
      </c>
      <c r="F9" s="23" t="n">
        <v>36000</v>
      </c>
      <c r="G9" s="16" t="n">
        <v>0</v>
      </c>
      <c r="H9" s="22" t="n">
        <f aca="false">IF(C9="Renewal",0.05,0)</f>
        <v>0.05</v>
      </c>
      <c r="I9" s="19" t="n">
        <v>0.12</v>
      </c>
      <c r="J9" s="23" t="n">
        <f aca="false">IF(C9="Churn",0,F9*(1+H9)+G9)</f>
        <v>37800</v>
      </c>
      <c r="K9" s="23" t="n">
        <f aca="false">J9*(1-I9)</f>
        <v>33264</v>
      </c>
      <c r="L9" s="23" t="n">
        <f aca="false">K9-F9</f>
        <v>-2736</v>
      </c>
      <c r="M9" s="22" t="n">
        <f aca="false">IF(F9=0,"new",L9/F9)</f>
        <v>-0.076</v>
      </c>
      <c r="N9" s="15" t="str">
        <f aca="false">IF(I9=0,"None",IF(AND(D9&gt;=2,I9&lt;=0.05),"None (multi-year)",IF(I9&lt;=0.12,"Finance","VP Customer Success")))</f>
        <v>Finance</v>
      </c>
      <c r="O9" s="15" t="str">
        <f aca="false">IF(D9&lt;2,"n/a",IF(E9="Upfront","Locked (0%)","5% a year"))</f>
        <v>5% a year</v>
      </c>
      <c r="P9" s="15" t="s">
        <v>183</v>
      </c>
    </row>
    <row r="10" customFormat="false" ht="15" hidden="false" customHeight="false" outlineLevel="0" collapsed="false">
      <c r="A10" s="15" t="s">
        <v>111</v>
      </c>
      <c r="B10" s="15" t="s">
        <v>179</v>
      </c>
      <c r="C10" s="18" t="s">
        <v>173</v>
      </c>
      <c r="D10" s="18" t="n">
        <v>1</v>
      </c>
      <c r="E10" s="18" t="s">
        <v>174</v>
      </c>
      <c r="F10" s="23" t="n">
        <v>50000</v>
      </c>
      <c r="G10" s="16" t="n">
        <v>0</v>
      </c>
      <c r="H10" s="22" t="n">
        <f aca="false">IF(C10="Renewal",0.05,0)</f>
        <v>0.05</v>
      </c>
      <c r="I10" s="19" t="n">
        <v>0</v>
      </c>
      <c r="J10" s="23" t="n">
        <f aca="false">IF(C10="Churn",0,F10*(1+H10)+G10)</f>
        <v>52500</v>
      </c>
      <c r="K10" s="23" t="n">
        <f aca="false">J10*(1-I10)</f>
        <v>52500</v>
      </c>
      <c r="L10" s="23" t="n">
        <f aca="false">K10-F10</f>
        <v>2500</v>
      </c>
      <c r="M10" s="22" t="n">
        <f aca="false">IF(F10=0,"new",L10/F10)</f>
        <v>0.05</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118</v>
      </c>
      <c r="B11" s="15" t="s">
        <v>172</v>
      </c>
      <c r="C11" s="18" t="s">
        <v>173</v>
      </c>
      <c r="D11" s="18" t="n">
        <v>1</v>
      </c>
      <c r="E11" s="18" t="s">
        <v>174</v>
      </c>
      <c r="F11" s="23" t="n">
        <v>28000</v>
      </c>
      <c r="G11" s="16" t="n">
        <v>0</v>
      </c>
      <c r="H11" s="22" t="n">
        <f aca="false">IF(C11="Renewal",0.05,0)</f>
        <v>0.05</v>
      </c>
      <c r="I11" s="19" t="n">
        <v>0</v>
      </c>
      <c r="J11" s="23" t="n">
        <f aca="false">IF(C11="Churn",0,F11*(1+H11)+G11)</f>
        <v>29400</v>
      </c>
      <c r="K11" s="23" t="n">
        <f aca="false">J11*(1-I11)</f>
        <v>29400</v>
      </c>
      <c r="L11" s="23" t="n">
        <f aca="false">K11-F11</f>
        <v>1400</v>
      </c>
      <c r="M11" s="22" t="n">
        <f aca="false">IF(F11=0,"new",L11/F11)</f>
        <v>0.05</v>
      </c>
      <c r="N11" s="15" t="str">
        <f aca="false">IF(I11=0,"None",IF(AND(D11&gt;=2,I11&lt;=0.05),"None (multi-year)",IF(I11&lt;=0.12,"Finance","VP Customer Success")))</f>
        <v>None</v>
      </c>
      <c r="O11" s="15" t="str">
        <f aca="false">IF(D11&lt;2,"n/a",IF(E11="Upfront","Locked (0%)","5% a year"))</f>
        <v>n/a</v>
      </c>
      <c r="P11" s="15" t="s">
        <v>184</v>
      </c>
    </row>
    <row r="12" customFormat="false" ht="15" hidden="false" customHeight="false" outlineLevel="0" collapsed="false">
      <c r="A12" s="15" t="s">
        <v>123</v>
      </c>
      <c r="B12" s="15" t="s">
        <v>172</v>
      </c>
      <c r="C12" s="18" t="s">
        <v>173</v>
      </c>
      <c r="D12" s="18" t="n">
        <v>1</v>
      </c>
      <c r="E12" s="18" t="s">
        <v>174</v>
      </c>
      <c r="F12" s="23" t="n">
        <v>35000</v>
      </c>
      <c r="G12" s="16" t="n">
        <v>0</v>
      </c>
      <c r="H12" s="22" t="n">
        <f aca="false">IF(C12="Renewal",0.05,0)</f>
        <v>0.05</v>
      </c>
      <c r="I12" s="19" t="n">
        <v>0</v>
      </c>
      <c r="J12" s="23" t="n">
        <f aca="false">IF(C12="Churn",0,F12*(1+H12)+G12)</f>
        <v>36750</v>
      </c>
      <c r="K12" s="23" t="n">
        <f aca="false">J12*(1-I12)</f>
        <v>36750</v>
      </c>
      <c r="L12" s="23" t="n">
        <f aca="false">K12-F12</f>
        <v>1750</v>
      </c>
      <c r="M12" s="22" t="n">
        <f aca="false">IF(F12=0,"new",L12/F12)</f>
        <v>0.05</v>
      </c>
      <c r="N12" s="15" t="str">
        <f aca="false">IF(I12=0,"None",IF(AND(D12&gt;=2,I12&lt;=0.05),"None (multi-year)",IF(I12&lt;=0.12,"Finance","VP Customer Success")))</f>
        <v>None</v>
      </c>
      <c r="O12" s="15" t="str">
        <f aca="false">IF(D12&lt;2,"n/a",IF(E12="Upfront","Locked (0%)","5% a year"))</f>
        <v>n/a</v>
      </c>
      <c r="P12" s="15" t="s">
        <v>185</v>
      </c>
    </row>
    <row r="13" customFormat="false" ht="15" hidden="false" customHeight="false" outlineLevel="0" collapsed="false">
      <c r="A13" s="15" t="s">
        <v>123</v>
      </c>
      <c r="B13" s="15" t="s">
        <v>186</v>
      </c>
      <c r="C13" s="18" t="s">
        <v>187</v>
      </c>
      <c r="D13" s="18" t="n">
        <v>1</v>
      </c>
      <c r="E13" s="18" t="s">
        <v>174</v>
      </c>
      <c r="F13" s="23" t="n">
        <v>0</v>
      </c>
      <c r="G13" s="16" t="n">
        <v>0</v>
      </c>
      <c r="H13" s="22" t="n">
        <f aca="false">IF(C13="Renewal",0.05,0)</f>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188</v>
      </c>
    </row>
    <row r="14" customFormat="false" ht="15" hidden="false" customHeight="false" outlineLevel="0" collapsed="false">
      <c r="A14" s="15" t="s">
        <v>127</v>
      </c>
      <c r="B14" s="15" t="s">
        <v>176</v>
      </c>
      <c r="C14" s="18" t="s">
        <v>173</v>
      </c>
      <c r="D14" s="18" t="n">
        <v>1</v>
      </c>
      <c r="E14" s="18" t="s">
        <v>174</v>
      </c>
      <c r="F14" s="23" t="n">
        <v>46000</v>
      </c>
      <c r="G14" s="16" t="n">
        <v>0</v>
      </c>
      <c r="H14" s="22" t="n">
        <f aca="false">IF(C14="Renewal",0.05,0)</f>
        <v>0.05</v>
      </c>
      <c r="I14" s="19" t="n">
        <v>0</v>
      </c>
      <c r="J14" s="23" t="n">
        <f aca="false">IF(C14="Churn",0,F14*(1+H14)+G14)</f>
        <v>48300</v>
      </c>
      <c r="K14" s="23" t="n">
        <f aca="false">J14*(1-I14)</f>
        <v>48300</v>
      </c>
      <c r="L14" s="23" t="n">
        <f aca="false">K14-F14</f>
        <v>2300</v>
      </c>
      <c r="M14" s="22" t="n">
        <f aca="false">IF(F14=0,"new",L14/F14)</f>
        <v>0.05</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132</v>
      </c>
      <c r="B15" s="15" t="s">
        <v>176</v>
      </c>
      <c r="C15" s="18" t="s">
        <v>180</v>
      </c>
      <c r="D15" s="18" t="n">
        <v>1</v>
      </c>
      <c r="E15" s="18" t="s">
        <v>174</v>
      </c>
      <c r="F15" s="23" t="n">
        <v>40000</v>
      </c>
      <c r="G15" s="16" t="n">
        <v>-8000</v>
      </c>
      <c r="H15" s="22" t="n">
        <f aca="false">IF(C15="Renewal",0.05,0)</f>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189</v>
      </c>
    </row>
    <row r="17" customFormat="false" ht="15" hidden="false" customHeight="false" outlineLevel="0" collapsed="false">
      <c r="A17" s="2" t="s">
        <v>137</v>
      </c>
      <c r="F17" s="24" t="n">
        <f aca="false">SUM(F5:F15)</f>
        <v>375000</v>
      </c>
      <c r="G17" s="24" t="n">
        <f aca="false">SUM(G5:G15)</f>
        <v>-23000</v>
      </c>
      <c r="J17" s="24" t="n">
        <f aca="false">SUM(J5:J15)</f>
        <v>366500</v>
      </c>
      <c r="K17" s="24" t="n">
        <f aca="false">SUM(K5:K15)</f>
        <v>361964</v>
      </c>
      <c r="L17" s="24" t="n">
        <f aca="false">SUM(L5:L15)</f>
        <v>-13036</v>
      </c>
    </row>
    <row r="19" customFormat="false" ht="15" hidden="false" customHeight="false" outlineLevel="0" collapsed="false">
      <c r="A19" s="2" t="s">
        <v>190</v>
      </c>
    </row>
    <row r="20" customFormat="false" ht="33.75" hidden="false" customHeight="true" outlineLevel="0" collapsed="false">
      <c r="A20" s="31" t="s">
        <v>191</v>
      </c>
      <c r="B20" s="31"/>
      <c r="C20" s="31"/>
      <c r="D20" s="31"/>
      <c r="E20" s="31"/>
      <c r="F20" s="31"/>
      <c r="G20" s="31"/>
      <c r="H20" s="31"/>
      <c r="I20" s="31"/>
      <c r="J20" s="31"/>
      <c r="K20" s="31"/>
      <c r="L20" s="31"/>
      <c r="M20" s="31"/>
      <c r="N20" s="31"/>
      <c r="O20" s="31"/>
      <c r="P20" s="31"/>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192</v>
      </c>
    </row>
    <row r="3" customFormat="false" ht="31.5" hidden="false" customHeight="true" outlineLevel="0" collapsed="false">
      <c r="A3" s="6" t="s">
        <v>157</v>
      </c>
      <c r="B3" s="6" t="s">
        <v>162</v>
      </c>
      <c r="C3" s="6" t="s">
        <v>193</v>
      </c>
      <c r="D3" s="6" t="s">
        <v>194</v>
      </c>
      <c r="E3" s="6" t="s">
        <v>195</v>
      </c>
      <c r="F3" s="6" t="s">
        <v>196</v>
      </c>
      <c r="G3" s="6" t="s">
        <v>197</v>
      </c>
      <c r="H3" s="6" t="s">
        <v>198</v>
      </c>
      <c r="I3" s="6" t="s">
        <v>61</v>
      </c>
      <c r="J3" s="6" t="s">
        <v>199</v>
      </c>
      <c r="K3" s="6" t="s">
        <v>200</v>
      </c>
    </row>
    <row r="4" customFormat="false" ht="15" hidden="false" customHeight="false" outlineLevel="0" collapsed="false">
      <c r="A4" s="32" t="str">
        <f aca="false">Pipeline!A5</f>
        <v>Vantage Freight</v>
      </c>
      <c r="B4" s="23" t="n">
        <f aca="false">SUMIFS(Products!$F:$F,Products!$A:$A,$A4)</f>
        <v>21000</v>
      </c>
      <c r="C4" s="23" t="n">
        <f aca="false">SUMPRODUCT((Products!$A$5:$A$200=$A4)*Products!$F$5:$F$200*Products!$H$5:$H$200)</f>
        <v>1050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22050</v>
      </c>
      <c r="J4" s="23" t="n">
        <f aca="false">I4-B4</f>
        <v>1050</v>
      </c>
      <c r="K4" s="22" t="n">
        <f aca="false">IF(B4=0,0,J4/B4)</f>
        <v>0.05</v>
      </c>
    </row>
    <row r="5" customFormat="false" ht="15" hidden="false" customHeight="false" outlineLevel="0" collapsed="false">
      <c r="A5" s="32" t="str">
        <f aca="false">Pipeline!A6</f>
        <v>Northwind Logistics</v>
      </c>
      <c r="B5" s="23" t="n">
        <f aca="false">SUMIFS(Products!$F:$F,Products!$A:$A,$A5)</f>
        <v>48000</v>
      </c>
      <c r="C5" s="23" t="n">
        <f aca="false">SUMPRODUCT((Products!$A$5:$A$200=$A5)*Products!$F$5:$F$200*Products!$H$5:$H$200)</f>
        <v>2400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50400</v>
      </c>
      <c r="J5" s="23" t="n">
        <f aca="false">I5-B5</f>
        <v>2400</v>
      </c>
      <c r="K5" s="22" t="n">
        <f aca="false">IF(B5=0,0,J5/B5)</f>
        <v>0.05</v>
      </c>
    </row>
    <row r="6" customFormat="false" ht="15" hidden="false" customHeight="false" outlineLevel="0" collapsed="false">
      <c r="A6" s="32" t="str">
        <f aca="false">Pipeline!A7</f>
        <v>Pixelforge</v>
      </c>
      <c r="B6" s="23" t="n">
        <f aca="false">SUMIFS(Products!$F:$F,Products!$A:$A,$A6)</f>
        <v>26000</v>
      </c>
      <c r="C6" s="23" t="n">
        <f aca="false">SUMPRODUCT((Products!$A$5:$A$200=$A6)*Products!$F$5:$F$200*Products!$H$5:$H$200)</f>
        <v>1300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27300</v>
      </c>
      <c r="J6" s="23" t="n">
        <f aca="false">I6-B6</f>
        <v>1300</v>
      </c>
      <c r="K6" s="22" t="n">
        <f aca="false">IF(B6=0,0,J6/B6)</f>
        <v>0.05</v>
      </c>
    </row>
    <row r="7" customFormat="false" ht="15" hidden="false" customHeight="false" outlineLevel="0" collapsed="false">
      <c r="A7" s="32"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201</v>
      </c>
      <c r="G7" s="18" t="s">
        <v>202</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2" t="str">
        <f aca="false">Pipeline!A9</f>
        <v>Brightloop</v>
      </c>
      <c r="B8" s="23" t="n">
        <f aca="false">SUMIFS(Products!$F:$F,Products!$A:$A,$A8)</f>
        <v>36000</v>
      </c>
      <c r="C8" s="23" t="n">
        <f aca="false">SUMPRODUCT((Products!$A$5:$A$200=$A8)*Products!$F$5:$F$200*Products!$H$5:$H$200)</f>
        <v>1800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-2736</v>
      </c>
      <c r="I8" s="23" t="n">
        <f aca="false">SUMIFS(Products!$K:$K,Products!$A:$A,$A8)</f>
        <v>33264</v>
      </c>
      <c r="J8" s="23" t="n">
        <f aca="false">I8-B8</f>
        <v>-2736</v>
      </c>
      <c r="K8" s="22" t="n">
        <f aca="false">IF(B8=0,0,J8/B8)</f>
        <v>-0.076</v>
      </c>
    </row>
    <row r="9" customFormat="false" ht="15" hidden="false" customHeight="false" outlineLevel="0" collapsed="false">
      <c r="A9" s="32" t="str">
        <f aca="false">Pipeline!A10</f>
        <v>Tessera Finance</v>
      </c>
      <c r="B9" s="23" t="n">
        <f aca="false">SUMIFS(Products!$F:$F,Products!$A:$A,$A9)</f>
        <v>50000</v>
      </c>
      <c r="C9" s="23" t="n">
        <f aca="false">SUMPRODUCT((Products!$A$5:$A$200=$A9)*Products!$F$5:$F$200*Products!$H$5:$H$200)</f>
        <v>2500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52500</v>
      </c>
      <c r="J9" s="23" t="n">
        <f aca="false">I9-B9</f>
        <v>2500</v>
      </c>
      <c r="K9" s="22" t="n">
        <f aca="false">IF(B9=0,0,J9/B9)</f>
        <v>0.05</v>
      </c>
    </row>
    <row r="10" customFormat="false" ht="15" hidden="false" customHeight="false" outlineLevel="0" collapsed="false">
      <c r="A10" s="32" t="str">
        <f aca="false">Pipeline!A11</f>
        <v>Lumen Retail</v>
      </c>
      <c r="B10" s="23" t="n">
        <f aca="false">SUMIFS(Products!$F:$F,Products!$A:$A,$A10)</f>
        <v>28000</v>
      </c>
      <c r="C10" s="23" t="n">
        <f aca="false">SUMPRODUCT((Products!$A$5:$A$200=$A10)*Products!$F$5:$F$200*Products!$H$5:$H$200)</f>
        <v>1400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29400</v>
      </c>
      <c r="J10" s="23" t="n">
        <f aca="false">I10-B10</f>
        <v>1400</v>
      </c>
      <c r="K10" s="22" t="n">
        <f aca="false">IF(B10=0,0,J10/B10)</f>
        <v>0.05</v>
      </c>
    </row>
    <row r="11" customFormat="false" ht="15" hidden="false" customHeight="false" outlineLevel="0" collapsed="false">
      <c r="A11" s="32" t="str">
        <f aca="false">Pipeline!A12</f>
        <v>Kestrel Analytics</v>
      </c>
      <c r="B11" s="23" t="n">
        <f aca="false">SUMIFS(Products!$F:$F,Products!$A:$A,$A11)</f>
        <v>35000</v>
      </c>
      <c r="C11" s="23" t="n">
        <f aca="false">SUMPRODUCT((Products!$A$5:$A$200=$A11)*Products!$F$5:$F$200*Products!$H$5:$H$200)</f>
        <v>1750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36750</v>
      </c>
      <c r="J11" s="23" t="n">
        <f aca="false">I11-B11</f>
        <v>1750</v>
      </c>
      <c r="K11" s="22" t="n">
        <f aca="false">IF(B11=0,0,J11/B11)</f>
        <v>0.05</v>
      </c>
    </row>
    <row r="12" customFormat="false" ht="15" hidden="false" customHeight="false" outlineLevel="0" collapsed="false">
      <c r="A12" s="32" t="str">
        <f aca="false">Pipeline!A13</f>
        <v>Marlowe Insurance</v>
      </c>
      <c r="B12" s="23" t="n">
        <f aca="false">SUMIFS(Products!$F:$F,Products!$A:$A,$A12)</f>
        <v>46000</v>
      </c>
      <c r="C12" s="23" t="n">
        <f aca="false">SUMPRODUCT((Products!$A$5:$A$200=$A12)*Products!$F$5:$F$200*Products!$H$5:$H$200)</f>
        <v>2300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48300</v>
      </c>
      <c r="J12" s="23" t="n">
        <f aca="false">I12-B12</f>
        <v>2300</v>
      </c>
      <c r="K12" s="22" t="n">
        <f aca="false">IF(B12=0,0,J12/B12)</f>
        <v>0.05</v>
      </c>
    </row>
    <row r="13" customFormat="false" ht="15" hidden="false" customHeight="false" outlineLevel="0" collapsed="false">
      <c r="A13" s="32"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201</v>
      </c>
      <c r="G13" s="18" t="s">
        <v>203</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137</v>
      </c>
      <c r="B14" s="24" t="n">
        <f aca="false">SUM(B4:B13)</f>
        <v>375000</v>
      </c>
      <c r="C14" s="24" t="n">
        <f aca="false">SUM(C4:C13)</f>
        <v>14500</v>
      </c>
      <c r="D14" s="24" t="n">
        <f aca="false">SUM(D4:D13)</f>
        <v>0</v>
      </c>
      <c r="E14" s="24" t="n">
        <f aca="false">SUM(E4:E13)</f>
        <v>-23000</v>
      </c>
      <c r="H14" s="24" t="n">
        <f aca="false">SUM(H4:H13)</f>
        <v>-2736</v>
      </c>
      <c r="I14" s="24" t="n">
        <f aca="false">SUM(I4:I13)</f>
        <v>361964</v>
      </c>
      <c r="J14" s="24" t="n">
        <f aca="false">SUM(J4:J13)</f>
        <v>-13036</v>
      </c>
      <c r="K14" s="33" t="n">
        <f aca="false">IF(B14=0,0,J14/B14)</f>
        <v>-0.0347626666666667</v>
      </c>
    </row>
    <row r="15" customFormat="false" ht="15" hidden="false" customHeight="false" outlineLevel="0" collapsed="false">
      <c r="A15" s="34" t="s">
        <v>204</v>
      </c>
      <c r="E15" s="35" t="n">
        <f aca="false">SUMIFS(E4:E13,F4:F13,"Regrettable")</f>
        <v>-23000</v>
      </c>
      <c r="F15" s="35" t="n">
        <f aca="false">SUMIFS(E4:E13,F4:F13,"Non-regrettable")</f>
        <v>0</v>
      </c>
      <c r="H15" s="35" t="n">
        <f aca="false">H14</f>
        <v>-2736</v>
      </c>
    </row>
    <row r="16" customFormat="false" ht="43.5" hidden="false" customHeight="true" outlineLevel="0" collapsed="false">
      <c r="A16" s="2" t="s">
        <v>205</v>
      </c>
      <c r="B16" s="31" t="s">
        <v>206</v>
      </c>
      <c r="C16" s="31"/>
      <c r="D16" s="31"/>
      <c r="E16" s="31"/>
      <c r="F16" s="31"/>
      <c r="G16" s="31"/>
      <c r="H16" s="31"/>
      <c r="I16" s="31"/>
      <c r="J16" s="31"/>
      <c r="K16" s="31"/>
    </row>
    <row r="17" customFormat="false" ht="15" hidden="false" customHeight="false" outlineLevel="0" collapsed="false">
      <c r="A17" s="2" t="s">
        <v>207</v>
      </c>
      <c r="B17" s="12" t="str">
        <f aca="false">COUNTIFS(E4:E13,"&lt;0",F4:F13,"")&amp;" opportunities with churn but no category"</f>
        <v>0 opportunities with churn but no category</v>
      </c>
    </row>
    <row r="18" customFormat="false" ht="15" hidden="false" customHeight="false" outlineLevel="0" collapsed="false">
      <c r="A18" s="12" t="s">
        <v>208</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209</v>
      </c>
    </row>
    <row r="3" customFormat="false" ht="31.5" hidden="false" customHeight="true" outlineLevel="0" collapsed="false">
      <c r="A3" s="6" t="s">
        <v>57</v>
      </c>
      <c r="B3" s="6" t="s">
        <v>56</v>
      </c>
      <c r="C3" s="6" t="s">
        <v>210</v>
      </c>
      <c r="D3" s="6" t="s">
        <v>47</v>
      </c>
      <c r="E3" s="6" t="s">
        <v>61</v>
      </c>
      <c r="F3" s="6" t="s">
        <v>211</v>
      </c>
      <c r="G3" s="6" t="s">
        <v>212</v>
      </c>
      <c r="H3" s="6" t="s">
        <v>213</v>
      </c>
      <c r="I3" s="6" t="s">
        <v>214</v>
      </c>
      <c r="J3" s="6" t="s">
        <v>215</v>
      </c>
    </row>
    <row r="4" customFormat="false" ht="15" hidden="false" customHeight="false" outlineLevel="0" collapsed="false">
      <c r="A4" s="15" t="s">
        <v>216</v>
      </c>
      <c r="B4" s="15" t="s">
        <v>217</v>
      </c>
      <c r="C4" s="15" t="n">
        <f aca="false">COUNTIFS(Pipeline!$M$5:$M$14,B4)</f>
        <v>2</v>
      </c>
      <c r="D4" s="23" t="n">
        <f aca="false">SUMIFS(Pipeline!$B$5:$B$14,Pipeline!$M$5:$M$14,B4)</f>
        <v>69000</v>
      </c>
      <c r="E4" s="23" t="n">
        <f aca="false">SUMIFS(Pipeline!$S$5:$S$14,Pipeline!$M$5:$M$14,B4)</f>
        <v>72450</v>
      </c>
      <c r="F4" s="23" t="n">
        <f aca="false">SUMIFS(Pipeline!$T$5:$T$14,Pipeline!$M$5:$M$14,B4)</f>
        <v>23625</v>
      </c>
      <c r="G4" s="23" t="n">
        <f aca="false">SUMIFS(Pipeline!$T$5:$T$14,Pipeline!$M$5:$M$14,B4,Pipeline!$U$5:$U$14,"On time")</f>
        <v>0</v>
      </c>
      <c r="H4" s="23" t="n">
        <f aca="false">SUMIFS(Pipeline!$T$5:$T$14,Pipeline!$M$5:$M$14,B4,Pipeline!$U$5:$U$14,"Late")</f>
        <v>23625</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216</v>
      </c>
      <c r="B5" s="15" t="s">
        <v>218</v>
      </c>
      <c r="C5" s="15" t="n">
        <f aca="false">COUNTIFS(Pipeline!$M$5:$M$14,B5)</f>
        <v>5</v>
      </c>
      <c r="D5" s="23" t="n">
        <f aca="false">SUMIFS(Pipeline!$B$5:$B$14,Pipeline!$M$5:$M$14,B5)</f>
        <v>184000</v>
      </c>
      <c r="E5" s="23" t="n">
        <f aca="false">SUMIFS(Pipeline!$S$5:$S$14,Pipeline!$M$5:$M$14,B5)</f>
        <v>175950</v>
      </c>
      <c r="F5" s="23" t="n">
        <f aca="false">SUMIFS(Pipeline!$T$5:$T$14,Pipeline!$M$5:$M$14,B5)</f>
        <v>68310</v>
      </c>
      <c r="G5" s="23" t="n">
        <f aca="false">SUMIFS(Pipeline!$T$5:$T$14,Pipeline!$M$5:$M$14,B5,Pipeline!$U$5:$U$14,"On time")</f>
        <v>27930</v>
      </c>
      <c r="H5" s="23" t="n">
        <f aca="false">SUMIFS(Pipeline!$T$5:$T$14,Pipeline!$M$5:$M$14,B5,Pipeline!$U$5:$U$14,"Late")</f>
        <v>40380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216</v>
      </c>
      <c r="B6" s="15" t="s">
        <v>219</v>
      </c>
      <c r="C6" s="15" t="n">
        <f aca="false">COUNTIFS(Pipeline!$M$5:$M$14,B6)</f>
        <v>3</v>
      </c>
      <c r="D6" s="23" t="n">
        <f aca="false">SUMIFS(Pipeline!$B$5:$B$14,Pipeline!$M$5:$M$14,B6)</f>
        <v>122000</v>
      </c>
      <c r="E6" s="23" t="n">
        <f aca="false">SUMIFS(Pipeline!$S$5:$S$14,Pipeline!$M$5:$M$14,B6)</f>
        <v>113564</v>
      </c>
      <c r="F6" s="23" t="n">
        <f aca="false">SUMIFS(Pipeline!$T$5:$T$14,Pipeline!$M$5:$M$14,B6)</f>
        <v>46337</v>
      </c>
      <c r="G6" s="23" t="n">
        <f aca="false">SUMIFS(Pipeline!$T$5:$T$14,Pipeline!$M$5:$M$14,B6,Pipeline!$U$5:$U$14,"On time")</f>
        <v>46337</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220</v>
      </c>
      <c r="C7" s="2" t="n">
        <f aca="false">SUM(C4:C6)</f>
        <v>10</v>
      </c>
      <c r="D7" s="24" t="n">
        <f aca="false">SUM(D4:D6)</f>
        <v>375000</v>
      </c>
      <c r="E7" s="24" t="n">
        <f aca="false">SUM(E4:E6)</f>
        <v>361964</v>
      </c>
      <c r="F7" s="24" t="n">
        <f aca="false">SUM(F4:F6)</f>
        <v>138272</v>
      </c>
      <c r="G7" s="24" t="n">
        <f aca="false">SUM(G4:G6)</f>
        <v>74267</v>
      </c>
      <c r="H7" s="24" t="n">
        <f aca="false">SUM(H4:H6)</f>
        <v>64005</v>
      </c>
      <c r="I7" s="24" t="n">
        <f aca="false">SUM(I4:I6)</f>
        <v>21000</v>
      </c>
      <c r="J7" s="24"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221</v>
      </c>
    </row>
    <row r="2" customFormat="false" ht="15" hidden="false" customHeight="false" outlineLevel="0" collapsed="false">
      <c r="A2" s="5" t="s">
        <v>222</v>
      </c>
    </row>
    <row r="4" customFormat="false" ht="31.5" hidden="false" customHeight="true" outlineLevel="0" collapsed="false">
      <c r="A4" s="6" t="s">
        <v>34</v>
      </c>
      <c r="B4" s="6" t="s">
        <v>223</v>
      </c>
      <c r="C4" s="6" t="s">
        <v>224</v>
      </c>
      <c r="D4" s="6" t="s">
        <v>225</v>
      </c>
      <c r="E4" s="6" t="s">
        <v>226</v>
      </c>
      <c r="F4" s="6" t="s">
        <v>227</v>
      </c>
      <c r="G4" s="6" t="s">
        <v>228</v>
      </c>
      <c r="H4" s="6" t="s">
        <v>229</v>
      </c>
    </row>
    <row r="5" customFormat="false" ht="15" hidden="false" customHeight="false" outlineLevel="0" collapsed="false">
      <c r="A5" s="7" t="s">
        <v>230</v>
      </c>
      <c r="B5" s="36" t="n">
        <v>0</v>
      </c>
      <c r="C5" s="36" t="n">
        <v>0</v>
      </c>
      <c r="D5" s="36" t="n">
        <v>0</v>
      </c>
      <c r="E5" s="36" t="n">
        <v>0</v>
      </c>
      <c r="F5" s="36" t="n">
        <v>0</v>
      </c>
      <c r="G5" s="8" t="s">
        <v>231</v>
      </c>
      <c r="H5" s="15" t="s">
        <v>71</v>
      </c>
    </row>
    <row r="6" customFormat="false" ht="15" hidden="false" customHeight="false" outlineLevel="0" collapsed="false">
      <c r="A6" s="7" t="s">
        <v>99</v>
      </c>
      <c r="B6" s="36" t="n">
        <v>0.05</v>
      </c>
      <c r="C6" s="36" t="n">
        <v>0.1</v>
      </c>
      <c r="D6" s="36" t="n">
        <v>0.2</v>
      </c>
      <c r="E6" s="36" t="n">
        <v>0.3</v>
      </c>
      <c r="F6" s="36" t="n">
        <v>0.35</v>
      </c>
      <c r="G6" s="8" t="s">
        <v>232</v>
      </c>
      <c r="H6" s="15" t="s">
        <v>71</v>
      </c>
    </row>
    <row r="7" customFormat="false" ht="15" hidden="false" customHeight="false" outlineLevel="0" collapsed="false">
      <c r="A7" s="7" t="s">
        <v>83</v>
      </c>
      <c r="B7" s="36" t="n">
        <v>0.1</v>
      </c>
      <c r="C7" s="36" t="n">
        <v>0.25</v>
      </c>
      <c r="D7" s="36" t="n">
        <v>0.35</v>
      </c>
      <c r="E7" s="36" t="n">
        <v>0.45</v>
      </c>
      <c r="F7" s="36" t="n">
        <v>0.5</v>
      </c>
      <c r="G7" s="8" t="s">
        <v>233</v>
      </c>
      <c r="H7" s="15" t="s">
        <v>71</v>
      </c>
    </row>
    <row r="8" customFormat="false" ht="15" hidden="false" customHeight="false" outlineLevel="0" collapsed="false">
      <c r="A8" s="7" t="s">
        <v>106</v>
      </c>
      <c r="B8" s="36" t="n">
        <v>0.2</v>
      </c>
      <c r="C8" s="36" t="n">
        <v>0.4</v>
      </c>
      <c r="D8" s="36" t="n">
        <v>0.5</v>
      </c>
      <c r="E8" s="36" t="n">
        <v>0.55</v>
      </c>
      <c r="F8" s="36" t="n">
        <v>0.55</v>
      </c>
      <c r="G8" s="8" t="s">
        <v>234</v>
      </c>
      <c r="H8" s="15" t="s">
        <v>71</v>
      </c>
    </row>
    <row r="9" customFormat="false" ht="15" hidden="false" customHeight="false" outlineLevel="0" collapsed="false">
      <c r="A9" s="7" t="s">
        <v>73</v>
      </c>
      <c r="B9" s="36" t="n">
        <v>0.5</v>
      </c>
      <c r="C9" s="36" t="n">
        <v>0.75</v>
      </c>
      <c r="D9" s="36" t="n">
        <v>0.7</v>
      </c>
      <c r="E9" s="36" t="n">
        <v>0.65</v>
      </c>
      <c r="F9" s="36" t="n">
        <v>0.6</v>
      </c>
      <c r="G9" s="8" t="s">
        <v>235</v>
      </c>
      <c r="H9" s="15" t="s">
        <v>71</v>
      </c>
    </row>
    <row r="10" customFormat="false" ht="15" hidden="false" customHeight="false" outlineLevel="0" collapsed="false">
      <c r="A10" s="7" t="s">
        <v>80</v>
      </c>
      <c r="B10" s="36" t="n">
        <v>0.7</v>
      </c>
      <c r="C10" s="36" t="n">
        <v>0.9</v>
      </c>
      <c r="D10" s="36" t="n">
        <v>0.85</v>
      </c>
      <c r="E10" s="36" t="n">
        <v>0.8</v>
      </c>
      <c r="F10" s="36" t="n">
        <v>0.75</v>
      </c>
      <c r="G10" s="8" t="s">
        <v>236</v>
      </c>
      <c r="H10" s="15" t="s">
        <v>71</v>
      </c>
    </row>
    <row r="11" customFormat="false" ht="15" hidden="false" customHeight="false" outlineLevel="0" collapsed="false">
      <c r="A11" s="7" t="s">
        <v>88</v>
      </c>
      <c r="B11" s="36" t="n">
        <v>0.95</v>
      </c>
      <c r="C11" s="36" t="n">
        <v>0.99</v>
      </c>
      <c r="D11" s="36" t="n">
        <v>0.97</v>
      </c>
      <c r="E11" s="36" t="n">
        <v>0.95</v>
      </c>
      <c r="F11" s="36" t="n">
        <v>0.9</v>
      </c>
      <c r="G11" s="8" t="s">
        <v>237</v>
      </c>
      <c r="H11" s="15" t="s">
        <v>71</v>
      </c>
    </row>
    <row r="12" customFormat="false" ht="15" hidden="false" customHeight="false" outlineLevel="0" collapsed="false">
      <c r="A12" s="7" t="s">
        <v>238</v>
      </c>
      <c r="B12" s="36" t="n">
        <v>1</v>
      </c>
      <c r="C12" s="36" t="n">
        <v>1</v>
      </c>
      <c r="D12" s="36" t="n">
        <v>1</v>
      </c>
      <c r="E12" s="36" t="n">
        <v>1</v>
      </c>
      <c r="F12" s="36" t="n">
        <v>1</v>
      </c>
      <c r="G12" s="8" t="s">
        <v>239</v>
      </c>
      <c r="H12" s="15" t="s">
        <v>71</v>
      </c>
    </row>
    <row r="13" customFormat="false" ht="15" hidden="false" customHeight="false" outlineLevel="0" collapsed="false">
      <c r="A13" s="7" t="s">
        <v>240</v>
      </c>
      <c r="B13" s="36" t="n">
        <v>0</v>
      </c>
      <c r="C13" s="36" t="n">
        <v>0</v>
      </c>
      <c r="D13" s="36" t="n">
        <v>0</v>
      </c>
      <c r="E13" s="36" t="n">
        <v>0</v>
      </c>
      <c r="F13" s="36" t="n">
        <v>0</v>
      </c>
      <c r="G13" s="8" t="s">
        <v>241</v>
      </c>
      <c r="H13" s="15" t="s">
        <v>242</v>
      </c>
    </row>
    <row r="14" customFormat="false" ht="26.85" hidden="false" customHeight="false" outlineLevel="0" collapsed="false">
      <c r="A14" s="7" t="s">
        <v>96</v>
      </c>
      <c r="B14" s="36" t="n">
        <v>0.4</v>
      </c>
      <c r="C14" s="36" t="n">
        <v>0.97</v>
      </c>
      <c r="D14" s="36" t="n">
        <v>0.95</v>
      </c>
      <c r="E14" s="36" t="n">
        <v>0.92</v>
      </c>
      <c r="F14" s="36" t="n">
        <v>0.9</v>
      </c>
      <c r="G14" s="8" t="s">
        <v>243</v>
      </c>
      <c r="H14" s="15" t="s">
        <v>90</v>
      </c>
    </row>
    <row r="15" customFormat="false" ht="26.85" hidden="false" customHeight="false" outlineLevel="0" collapsed="false">
      <c r="A15" s="7" t="s">
        <v>91</v>
      </c>
      <c r="B15" s="36" t="n">
        <v>0.4</v>
      </c>
      <c r="C15" s="36" t="n">
        <v>0.6</v>
      </c>
      <c r="D15" s="36" t="n">
        <v>0.7</v>
      </c>
      <c r="E15" s="36" t="n">
        <v>0.75</v>
      </c>
      <c r="F15" s="36" t="n">
        <v>0.8</v>
      </c>
      <c r="G15" s="8" t="s">
        <v>244</v>
      </c>
      <c r="H15" s="15" t="s">
        <v>90</v>
      </c>
    </row>
    <row r="16" customFormat="false" ht="26.85" hidden="false" customHeight="false" outlineLevel="0" collapsed="false">
      <c r="A16" s="7" t="s">
        <v>133</v>
      </c>
      <c r="B16" s="36" t="n">
        <v>0.2</v>
      </c>
      <c r="C16" s="36" t="n">
        <v>0.35</v>
      </c>
      <c r="D16" s="36" t="n">
        <v>0.4</v>
      </c>
      <c r="E16" s="36" t="n">
        <v>0.45</v>
      </c>
      <c r="F16" s="36" t="n">
        <v>0.5</v>
      </c>
      <c r="G16" s="8" t="s">
        <v>245</v>
      </c>
      <c r="H16" s="15" t="s">
        <v>90</v>
      </c>
    </row>
    <row r="17" customFormat="false" ht="26.85" hidden="false" customHeight="false" outlineLevel="0" collapsed="false">
      <c r="A17" s="7" t="s">
        <v>246</v>
      </c>
      <c r="B17" s="36" t="n">
        <v>0.5</v>
      </c>
      <c r="C17" s="36" t="n">
        <v>0.8</v>
      </c>
      <c r="D17" s="36" t="n">
        <v>0.8</v>
      </c>
      <c r="E17" s="36" t="n">
        <v>0.8</v>
      </c>
      <c r="F17" s="36" t="n">
        <v>0.8</v>
      </c>
      <c r="G17" s="8" t="s">
        <v>247</v>
      </c>
      <c r="H17" s="15" t="s">
        <v>90</v>
      </c>
    </row>
    <row r="18" customFormat="false" ht="26.85" hidden="false" customHeight="false" outlineLevel="0" collapsed="false">
      <c r="A18" s="7" t="s">
        <v>248</v>
      </c>
      <c r="B18" s="36" t="n">
        <v>0</v>
      </c>
      <c r="C18" s="36" t="n">
        <v>0.1</v>
      </c>
      <c r="D18" s="36" t="n">
        <v>0.1</v>
      </c>
      <c r="E18" s="36" t="n">
        <v>0.1</v>
      </c>
      <c r="F18" s="36" t="n">
        <v>0.1</v>
      </c>
      <c r="G18" s="8" t="s">
        <v>249</v>
      </c>
      <c r="H18" s="15" t="s">
        <v>90</v>
      </c>
    </row>
    <row r="19" customFormat="false" ht="15" hidden="false" customHeight="false" outlineLevel="0" collapsed="false">
      <c r="A19" s="7" t="s">
        <v>250</v>
      </c>
      <c r="B19" s="36" t="n">
        <v>1</v>
      </c>
      <c r="C19" s="36" t="n">
        <v>1</v>
      </c>
      <c r="D19" s="36" t="n">
        <v>1</v>
      </c>
      <c r="E19" s="36" t="n">
        <v>1</v>
      </c>
      <c r="F19" s="36" t="n">
        <v>1</v>
      </c>
      <c r="G19" s="8" t="s">
        <v>251</v>
      </c>
      <c r="H19" s="15" t="s">
        <v>90</v>
      </c>
    </row>
    <row r="21" customFormat="false" ht="15" hidden="false" customHeight="true" outlineLevel="0" collapsed="false">
      <c r="A21" s="2" t="s">
        <v>15</v>
      </c>
      <c r="B21" s="31" t="s">
        <v>252</v>
      </c>
      <c r="C21" s="31"/>
      <c r="D21" s="31"/>
      <c r="E21" s="31"/>
      <c r="F21" s="31"/>
      <c r="G21" s="31"/>
    </row>
    <row r="22" customFormat="false" ht="15" hidden="false" customHeight="false" outlineLevel="0" collapsed="false">
      <c r="B22" s="31"/>
      <c r="C22" s="31"/>
      <c r="D22" s="31"/>
      <c r="E22" s="31"/>
      <c r="F22" s="31"/>
      <c r="G22" s="31"/>
    </row>
    <row r="23" customFormat="false" ht="15" hidden="false" customHeight="false" outlineLevel="0" collapsed="false">
      <c r="B23" s="31"/>
      <c r="C23" s="31"/>
      <c r="D23" s="31"/>
      <c r="E23" s="31"/>
      <c r="F23" s="31"/>
      <c r="G23" s="31"/>
    </row>
    <row r="25" customFormat="false" ht="15" hidden="false" customHeight="true" outlineLevel="0" collapsed="false">
      <c r="A25" s="2" t="s">
        <v>11</v>
      </c>
      <c r="B25" s="31" t="s">
        <v>253</v>
      </c>
      <c r="C25" s="31"/>
      <c r="D25" s="31"/>
      <c r="E25" s="31"/>
      <c r="F25" s="31"/>
      <c r="G25" s="31"/>
    </row>
    <row r="26" customFormat="false" ht="15" hidden="false" customHeight="false" outlineLevel="0" collapsed="false">
      <c r="B26" s="31"/>
      <c r="C26" s="31"/>
      <c r="D26" s="31"/>
      <c r="E26" s="31"/>
      <c r="F26" s="31"/>
      <c r="G26" s="31"/>
    </row>
    <row r="27" customFormat="false" ht="15" hidden="false" customHeight="false" outlineLevel="0" collapsed="false">
      <c r="B27" s="31"/>
      <c r="C27" s="31"/>
      <c r="D27" s="31"/>
      <c r="E27" s="31"/>
      <c r="F27" s="31"/>
      <c r="G27" s="31"/>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254</v>
      </c>
    </row>
    <row r="3" customFormat="false" ht="31.5" hidden="false" customHeight="true" outlineLevel="0" collapsed="false">
      <c r="A3" s="6" t="s">
        <v>255</v>
      </c>
      <c r="B3" s="6" t="s">
        <v>256</v>
      </c>
      <c r="C3" s="6" t="s">
        <v>257</v>
      </c>
    </row>
    <row r="4" customFormat="false" ht="15" hidden="false" customHeight="false" outlineLevel="0" collapsed="false">
      <c r="A4" s="8" t="s">
        <v>258</v>
      </c>
      <c r="B4" s="8" t="s">
        <v>259</v>
      </c>
      <c r="C4" s="8" t="s">
        <v>260</v>
      </c>
    </row>
    <row r="5" customFormat="false" ht="15" hidden="false" customHeight="false" outlineLevel="0" collapsed="false">
      <c r="A5" s="8" t="s">
        <v>261</v>
      </c>
      <c r="B5" s="8" t="s">
        <v>262</v>
      </c>
      <c r="C5" s="8" t="s">
        <v>263</v>
      </c>
    </row>
    <row r="6" customFormat="false" ht="15" hidden="false" customHeight="false" outlineLevel="0" collapsed="false">
      <c r="A6" s="8" t="s">
        <v>264</v>
      </c>
      <c r="B6" s="8" t="s">
        <v>265</v>
      </c>
      <c r="C6" s="8" t="s">
        <v>266</v>
      </c>
    </row>
    <row r="7" customFormat="false" ht="15" hidden="false" customHeight="false" outlineLevel="0" collapsed="false">
      <c r="A7" s="8" t="s">
        <v>267</v>
      </c>
      <c r="B7" s="8" t="s">
        <v>268</v>
      </c>
      <c r="C7" s="8" t="s">
        <v>269</v>
      </c>
    </row>
    <row r="8" customFormat="false" ht="15" hidden="false" customHeight="false" outlineLevel="0" collapsed="false">
      <c r="A8" s="8" t="s">
        <v>180</v>
      </c>
      <c r="B8" s="8" t="s">
        <v>270</v>
      </c>
      <c r="C8" s="8" t="s">
        <v>271</v>
      </c>
    </row>
    <row r="9" customFormat="false" ht="15" hidden="false" customHeight="false" outlineLevel="0" collapsed="false">
      <c r="A9" s="8" t="s">
        <v>272</v>
      </c>
      <c r="B9" s="8" t="s">
        <v>273</v>
      </c>
      <c r="C9" s="8" t="s">
        <v>274</v>
      </c>
    </row>
    <row r="10" customFormat="false" ht="15" hidden="false" customHeight="false" outlineLevel="0" collapsed="false">
      <c r="A10" s="8" t="s">
        <v>275</v>
      </c>
      <c r="B10" s="8" t="s">
        <v>276</v>
      </c>
      <c r="C10" s="8"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2026-10-25T18:47:43Z</dcterms:created>
  <dc:creator>openpyxl</dc:creator>
  <dc:description/>
  <dc:language>en-US</dc:language>
  <cp:lastModifiedBy/>
  <dcterms:modified xsi:type="dcterms:W3CDTF">2026-10-25T18:47:43Z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