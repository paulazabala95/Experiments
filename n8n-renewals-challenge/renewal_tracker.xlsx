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2" authorId="0">
      <text>
        <r>
          <rPr>
            <sz val="10"/>
            <rFont val="Arial"/>
            <family val="2"/>
          </rPr>
          <t xml:space="preserve">Exercise date: Tue 20 Oct 2026, so Vantage is overdue and the other nine fall inside 60 days. Use =TODAY() in live use.</t>
        </r>
      </text>
    </comment>
  </commentList>
</comments>
</file>

<file path=xl/sharedStrings.xml><?xml version="1.0" encoding="utf-8"?>
<sst xmlns="http://schemas.openxmlformats.org/spreadsheetml/2006/main" count="403" uniqueCount="278">
  <si>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</si>
  <si>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</si>
  <si>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</si>
  <si>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</si>
  <si>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</si>
  <si>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</si>
  <si>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owner (Me / CSM / Finance / Legal) plus who else is involved,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</si>
  <si>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</si>
  <si>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</si>
  <si>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Auto-renewals</t>
  </si>
  <si>
    <t xml:space="preserve">Own statuses: Renewing: no blockers / Billing blocker / At risk (before or after the notice deadline) / Notice received / Renewed. A red status cell means the status does not match the renewal type.</t>
  </si>
  <si>
    <t xml:space="preserve">Usage rule</t>
  </si>
  <si>
    <t xml:space="preserve">Usage +20%: renew as is plus an Upsell opportunity and task (no automatic charge). Usage -20%: flag the CSM; auto-renewals move to At risk.</t>
  </si>
  <si>
    <t xml:space="preserve">Forecast of the forecast</t>
  </si>
  <si>
    <t xml:space="preserve">Weighted today vs weighted by 30 Oct if this week's actions move each status to its target.</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</si>
  <si>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</si>
  <si>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</si>
  <si>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</si>
  <si>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</si>
  <si>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</si>
  <si>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The Renewals Manager only sets the line type (Renewal / Upsell / Downgrade / Churn) and the new numbers. Original ARR, list price, new ARR and Δ (green/red) recalculate; the renewal value already includes the uplift. Upsell lines open a linked Upsell opportunity.</t>
  </si>
  <si>
    <t xml:space="preserve">Churn</t>
  </si>
  <si>
    <t xml:space="preserve">Set on the opportunity: churned amount (from the lines), category (Regrettable = revenue lost for good; Non-regrettable = revenue kept, e.g. self-hosted moving to n8n Cloud) and a granular reason.</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</si>
  <si>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</si>
  <si>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</si>
  <si>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</si>
  <si>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</si>
  <si>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</si>
  <si>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</si>
  <si>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</si>
  <si>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</si>
  <si>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</si>
  <si>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</si>
  <si>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</si>
  <si>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</si>
  <si>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</si>
  <si>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</si>
  <si>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</si>
  <si>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Also involved</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</si>
  <si>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</si>
  <si>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</si>
  <si>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</si>
  <si>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</si>
  <si>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</si>
  <si>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</si>
  <si>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Target date</t>
  </si>
  <si>
    <t xml:space="preserve">Blue on yellow = input. Everything else is a formula. Columns AF-AH: the forecast after this week's actions.</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</si>
  <si>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</si>
  <si>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</si>
  <si>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</si>
  <si>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</si>
  <si>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</si>
  <si>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</si>
  <si>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</si>
  <si>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</si>
  <si>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</si>
  <si>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</si>
  <si>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</si>
  <si>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</si>
  <si>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</si>
  <si>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</si>
  <si>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</si>
  <si>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</si>
  <si>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</si>
  <si>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Notice period (days)</t>
  </si>
  <si>
    <t xml:space="preserve">Notice deadline</t>
  </si>
  <si>
    <t xml:space="preserve">Usage signal</t>
  </si>
  <si>
    <t xml:space="preserve">Target status by 30 Oct</t>
  </si>
  <si>
    <t xml:space="preserve">Target prob.</t>
  </si>
  <si>
    <t xml:space="preserve">Weighted after actions (€)</t>
  </si>
  <si>
    <t xml:space="preserve">Vantage Freight</t>
  </si>
  <si>
    <t xml:space="preserve">Manual</t>
  </si>
  <si>
    <t xml:space="preserve">Yellow</t>
  </si>
  <si>
    <t xml:space="preserve">Quoted</t>
  </si>
  <si>
    <t xml:space="preserve">No named contact (shared inbox)</t>
  </si>
  <si>
    <t xml:space="preserve">CSM pulls instance owner/admin emails from product data;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</si>
  <si>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</si>
  <si>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</si>
  <si>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Manager</t>
  </si>
  <si>
    <t xml:space="preserve">Yes: Manager, to agree the grace period before access is restricted</t>
  </si>
  <si>
    <t xml:space="preserve">Waiting for PO</t>
  </si>
  <si>
    <t xml:space="preserve">Northwind Logistics</t>
  </si>
  <si>
    <t xml:space="preserve">Green</t>
  </si>
  <si>
    <t xml:space="preserve">Engaging customer</t>
  </si>
  <si>
    <t xml:space="preserve">No quote sent; signatory unknown; signed 3 days late last year</t>
  </si>
  <si>
    <t xml:space="preserve">Quote and order form out today at €48k for e-signature; champion confirms signatory and PO need; signature booked for 27 Oct.</t>
  </si>
  <si>
    <t xml:space="preserve">Biggest near-term ARR, 9 days out, no quote, signed 3 days late last year. One hour of work removes most of the risk.</t>
  </si>
  <si>
    <t xml:space="preserve">CSM</t>
  </si>
  <si>
    <t xml:space="preserve">PO received</t>
  </si>
  <si>
    <t xml:space="preserve">Pixelforge</t>
  </si>
  <si>
    <t xml:space="preserve">Auto</t>
  </si>
  <si>
    <t xml:space="preserve">Billing blocker</t>
  </si>
  <si>
    <t xml:space="preserve">Card expired; billing contact unknown</t>
  </si>
  <si>
    <t xml:space="preserve">CSM gets the billing contact today; I send a secure card-update link or switch to invoice; Finance holds dunning. Renews at €26k (renewal value).</t>
  </si>
  <si>
    <t xml:space="preserve">Auto-renewal fails in 13 days on an expired card: involuntary churn on a green account.</t>
  </si>
  <si>
    <t xml:space="preserve">Me, Finance</t>
  </si>
  <si>
    <t xml:space="preserve">Renewing: no blockers</t>
  </si>
  <si>
    <t xml:space="preserve">Halden Health</t>
  </si>
  <si>
    <t xml:space="preserve">Red</t>
  </si>
  <si>
    <t xml:space="preserve">Not started</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</si>
  <si>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</si>
  <si>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</si>
  <si>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</si>
  <si>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Me, Manager, VP CS (exec sponsor)</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</si>
  <si>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</si>
  <si>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</si>
  <si>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</si>
  <si>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</si>
  <si>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</si>
  <si>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</si>
  <si>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Finance, Legal, CSM</t>
  </si>
  <si>
    <t xml:space="preserve">Tessera Finance</t>
  </si>
  <si>
    <t xml:space="preserve">MSA redlines open since Sep; security review</t>
  </si>
  <si>
    <t xml:space="preserve">ESCALATE TODAY to Legal: redline response by 30 Oct. Security pack today. Renew on the current MSA and negotiate the MSA in parallel.</t>
  </si>
  <si>
    <t xml:space="preserve">Legal</t>
  </si>
  <si>
    <t xml:space="preserve">MSA redlines open since September and a security review can block the PO; 29 days left.</t>
  </si>
  <si>
    <t xml:space="preserve">Me, Security</t>
  </si>
  <si>
    <t xml:space="preserve">Yes: Legal lead, redline response by 30 Oct and renew on the current MSA</t>
  </si>
  <si>
    <t xml:space="preserve">Lumen Retail</t>
  </si>
  <si>
    <t xml:space="preserve">Invoice to a different legal entity</t>
  </si>
  <si>
    <t xml:space="preserve">New entity details (name, VAT, address); Legal: billing change or assignment; Finance updates billing before the invoice run. Cancellation deadline 22 Oct (assumed 30 days).</t>
  </si>
  <si>
    <t xml:space="preserve">Auto-renewal would invoice the wrong legal entity; cancellation deadline 22 Oct (assumed 30-day notice).</t>
  </si>
  <si>
    <t xml:space="preserve">Finance, Legal</t>
  </si>
  <si>
    <t xml:space="preserve">Kestrel Analytics</t>
  </si>
  <si>
    <t xml:space="preserve">Close to execution cap</t>
  </si>
  <si>
    <t xml:space="preserve">CSM usage review; quote like-for-like (€35k) and open a linked Upsell opportunity for the next execution tier.</t>
  </si>
  <si>
    <t xml:space="preserve">Usage +40%, near the execution cap: expansion, and a throttling risk.</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</si>
  <si>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</si>
  <si>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</si>
  <si>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</si>
  <si>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</si>
  <si>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Legal, Security</t>
  </si>
  <si>
    <t xml:space="preserve">Quanta Labs</t>
  </si>
  <si>
    <t xml:space="preserve">At risk: before notice deadline</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</si>
  <si>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</si>
  <si>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</si>
  <si>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the notice deadline is ~19 Nov (assumed 30-day notice).</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</si>
  <si>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</si>
  <si>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</si>
  <si>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</si>
  <si>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</si>
  <si>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</si>
  <si>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</si>
  <si>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</si>
  <si>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</si>
  <si>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</si>
  <si>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</si>
  <si>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</si>
  <si>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</si>
  <si>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</si>
  <si>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</si>
  <si>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t>
  </si>
  <si>
    <t xml:space="preserve">Weighted today (statuses from what we know)</t>
  </si>
  <si>
    <t xml:space="preserve">Weighted by 30 Oct, if this week's actions land</t>
  </si>
  <si>
    <t xml:space="preserve">Gain from this week's actions</t>
  </si>
  <si>
    <t xml:space="preserve">Opportunity products: the Renewals Manager only sets the line type and the new numbers; everything else recalculates</t>
  </si>
  <si>
    <t xml:space="preserve">Renewals Manager inputs (yellow): line type and change at list. Original ARR is the renewal value and already includes the 5% uplift (applied when the renewal opportunity is created), so nothing is added on top. On multi-year deals paid upfront the price is locked from year 2 (no further uplift); paid annually, 5% applies every year. An Upsell line opens a linked Upsell opportunity so expansion is forecast separately. Churn category and reason live on the opportunity.</t>
  </si>
  <si>
    <t xml:space="preserve">Opportunity</t>
  </si>
  <si>
    <t xml:space="preserve">Product</t>
  </si>
  <si>
    <t xml:space="preserve">Line type</t>
  </si>
  <si>
    <t xml:space="preserve">Term (yrs)</t>
  </si>
  <si>
    <t xml:space="preserve">Payment</t>
  </si>
  <si>
    <t xml:space="preserve">Original ARR (€)</t>
  </si>
  <si>
    <t xml:space="preserve">Change at list (€)</t>
  </si>
  <si>
    <t xml:space="preserve">Extra uplift %</t>
  </si>
  <si>
    <t xml:space="preserve">Discount %</t>
  </si>
  <si>
    <t xml:space="preserve">List renewal price (€)</t>
  </si>
  <si>
    <t xml:space="preserve">Δ vs original (€)</t>
  </si>
  <si>
    <t xml:space="preserve">Δ %</t>
  </si>
  <si>
    <t xml:space="preserve">Approval needed</t>
  </si>
  <si>
    <t xml:space="preserve">Year 2+ uplift</t>
  </si>
  <si>
    <t xml:space="preserve">Note</t>
  </si>
  <si>
    <t xml:space="preserve">n8n Cloud Business</t>
  </si>
  <si>
    <t xml:space="preserve">Renewal</t>
  </si>
  <si>
    <t xml:space="preserve">Annual</t>
  </si>
  <si>
    <t xml:space="preserve">Quote of 1 Sep at the renewal value</t>
  </si>
  <si>
    <t xml:space="preserve">n8n Cloud Enterprise</t>
  </si>
  <si>
    <t xml:space="preserve">Usage +12%: check cap next quarter</t>
  </si>
  <si>
    <t xml:space="preserve">Renewal value; the contractual uplift is already in it</t>
  </si>
  <si>
    <t xml:space="preserve">n8n Enterprise (self-hosted)</t>
  </si>
  <si>
    <t xml:space="preserve">Downgrade</t>
  </si>
  <si>
    <t xml:space="preserve">Right-sized at list (assumed €30k)</t>
  </si>
  <si>
    <t xml:space="preserve">n8n Enterprise</t>
  </si>
  <si>
    <t xml:space="preserve">Ramp year 1: 10% off; year 2 €35,910</t>
  </si>
  <si>
    <t xml:space="preserve">Bill to new legal entity</t>
  </si>
  <si>
    <t xml:space="preserve">Commit line</t>
  </si>
  <si>
    <t xml:space="preserve">Next execution tier</t>
  </si>
  <si>
    <t xml:space="preserve">Upsell</t>
  </si>
  <si>
    <t xml:space="preserve">Opens a linked Upsell opportunity (upside)</t>
  </si>
  <si>
    <t xml:space="preserve">Right-sized in line with -20% usage</t>
  </si>
  <si>
    <t xml:space="preserve">Assumptions</t>
  </si>
  <si>
    <t xml:space="preserve">Plan names and downgrade prices are assumptions: n8n does not publish self-hosted Enterprise prices. A year-1 uplift waiver is an exception (e.g. three years paid upfront) and counts as a discount under policy C.</t>
  </si>
  <si>
    <t xml:space="preserve">Opportunity roll-up: calculated from product lines; churn category and reason set on the opportunity</t>
  </si>
  <si>
    <t xml:space="preserve">Uplift (€)</t>
  </si>
  <si>
    <t xml:space="preserve">Upsell (€) → Upsell opp</t>
  </si>
  <si>
    <t xml:space="preserve">Churned amount (€)</t>
  </si>
  <si>
    <t xml:space="preserve">Churn category</t>
  </si>
  <si>
    <t xml:space="preserve">Churn reason</t>
  </si>
  <si>
    <t xml:space="preserve">Price concession below current (€)</t>
  </si>
  <si>
    <t xml:space="preserve">Net change (€)</t>
  </si>
  <si>
    <t xml:space="preserve">Net change %</t>
  </si>
  <si>
    <t xml:space="preserve">Regrettable</t>
  </si>
  <si>
    <t xml:space="preserve">Low adoption / champion left</t>
  </si>
  <si>
    <t xml:space="preserve">Budget cut</t>
  </si>
  <si>
    <t xml:space="preserve">(linked to Pipeline)</t>
  </si>
  <si>
    <t xml:space="preserve">Churn reasons</t>
  </si>
  <si>
    <t xml:space="preserve">Regrettable: Budget cut · Regrettable: Price · Regrettable: Competitor · Regrettable: Moved to free Community edition · Regrettable: Product gaps · Regrettable: Support or service · Regrettable: Low adoption / champion left · Regrettable: Company closed · Non-regrettable: Migrated to another n8n product · Non-regrettable: Consolidated into another n8n contract · Non-regrettable: Moved to another legal entity</t>
  </si>
  <si>
    <t xml:space="preserve">Missing reason</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</si>
  <si>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</si>
  <si>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</si>
  <si>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</si>
  <si>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</si>
  <si>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</si>
  <si>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</si>
  <si>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</si>
  <si>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Regrettable churn (€)</t>
  </si>
  <si>
    <t xml:space="preserve">Q4 2026</t>
  </si>
  <si>
    <t xml:space="preserve">2026-10</t>
  </si>
  <si>
    <t xml:space="preserve">2026-11</t>
  </si>
  <si>
    <t xml:space="preserve">2026-12</t>
  </si>
  <si>
    <t xml:space="preserve">Q4 2026 total</t>
  </si>
  <si>
    <t xml:space="preserve">Renewal probability: Renewal Status x days to renewal</t>
  </si>
  <si>
    <t xml:space="preserve">Manual: late statuses (Quoted and after) rise as the date gets closer; early statuses fall. Auto-renewal: a clean renewal rises; an open blocker or risk falls as the date gets closer. Blue = editable.</t>
  </si>
  <si>
    <t xml:space="preserve">Overdue</t>
  </si>
  <si>
    <t xml:space="preserve">0-30</t>
  </si>
  <si>
    <t xml:space="preserve">31-60</t>
  </si>
  <si>
    <t xml:space="preserve">61-90</t>
  </si>
  <si>
    <t xml:space="preserve">&gt;90</t>
  </si>
  <si>
    <t xml:space="preserve">Exit criteria (what must be true to be in this status)</t>
  </si>
  <si>
    <t xml:space="preserve">Applies to</t>
  </si>
  <si>
    <t xml:space="preserve">--None--</t>
  </si>
  <si>
    <t xml:space="preserve">Not allowed. Every open renewal must have a status.</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</si>
  <si>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</si>
  <si>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</si>
  <si>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</si>
  <si>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</si>
  <si>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</si>
  <si>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</si>
  <si>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</si>
  <si>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</si>
  <si>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</si>
  <si>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</si>
  <si>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Both</t>
  </si>
  <si>
    <t xml:space="preserve">Valid payment method, correct billing entity, usage stable or growing. (Overdue = payment failed: move to Billing blocker.)</t>
  </si>
  <si>
    <t xml:space="preserve">Expired card, wrong legal entity, PO required. Admin fix, usually recoverable.</t>
  </si>
  <si>
    <t xml:space="preserve">Usage down 20%+, silence or budget cuts, and the customer can still give notice.</t>
  </si>
  <si>
    <t xml:space="preserve">At risk: notice deadline passed</t>
  </si>
  <si>
    <t xml:space="preserve">Same signals, but no notice was given: the contract has renewed. Risk shifts to payment.</t>
  </si>
  <si>
    <t xml:space="preserve">Notice received</t>
  </si>
  <si>
    <t xml:space="preserve">Customer gave non-renewal or downgrade notice. Becomes a manual save negotiation.</t>
  </si>
  <si>
    <t xml:space="preserve">Renewed</t>
  </si>
  <si>
    <t xml:space="preserve">Invoiced and paid.</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</si>
  <si>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</si>
  <si>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n8n prices by workflow executions (users are unlimited). Usage +20% or more: renew as is, open an Upsell opportunity and a CSM + Renewals task; never auto-charge unless the contract has an overage clause. Usage -20% or more: flag the CSM for an adoption plan; on an auto-renewal, set At risk.</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</si>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</sst>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0;[RED]&quot;-€&quot;#,##0;\-"/>
    <numFmt numFmtId="166" formatCode="dd\ mmm\ yyyy"/>
    <numFmt numFmtId="167" formatCode="General"/>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4">
    <fill>
      <patternFill patternType="none"/>
    </fill>
    <fill>
      <patternFill patternType="gray125"/>
    </fill>
    <fill>
      <patternFill patternType="solid">
        <fgColor rgb="FF2B2B3C"/>
        <bgColor rgb="FF333300"/>
      </patternFill>
    </fill>
    <fill>
      <patternFill patternType="solid">
        <fgColor rgb="FFFFF2CC"/>
        <bgColor rgb="FFFFF3CD"/>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row r="13" customFormat="false" ht="31.5" hidden="false" customHeight="true" outlineLevel="0" collapsed="false">
      <c r="A13" s="2" t="s">
        <v>21</v>
      </c>
      <c r="B13" s="3" t="s">
        <v>22</v>
      </c>
    </row>
    <row r="14" customFormat="false" ht="31.5" hidden="false" customHeight="true" outlineLevel="0" collapsed="false">
      <c r="A14" s="2" t="s">
        <v>23</v>
      </c>
      <c r="B14" s="3" t="s">
        <v>24</v>
      </c>
    </row>
    <row r="15" customFormat="false" ht="31.5" hidden="false" customHeight="true" outlineLevel="0" collapsed="false">
      <c r="A15" s="2" t="s">
        <v>25</v>
      </c>
      <c r="B1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22"/>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27</v>
      </c>
    </row>
    <row r="2" customFormat="false" ht="15" hidden="false" customHeight="false" outlineLevel="0" collapsed="false">
      <c r="A2" s="5" t="s">
        <v>28</v>
      </c>
    </row>
    <row r="4" customFormat="false" ht="31.5" hidden="false" customHeight="true" outlineLevel="0" collapsed="false">
      <c r="A4" s="6" t="s">
        <v>29</v>
      </c>
      <c r="B4" s="6" t="s">
        <v>30</v>
      </c>
      <c r="C4" s="6" t="s">
        <v>31</v>
      </c>
      <c r="D4" s="6" t="s">
        <v>32</v>
      </c>
      <c r="E4" s="6" t="s">
        <v>33</v>
      </c>
      <c r="F4" s="6" t="s">
        <v>34</v>
      </c>
      <c r="G4" s="6" t="s">
        <v>35</v>
      </c>
      <c r="H4" s="6" t="s">
        <v>36</v>
      </c>
      <c r="I4" s="6" t="s">
        <v>37</v>
      </c>
      <c r="J4" s="6" t="s">
        <v>38</v>
      </c>
      <c r="K4" s="6" t="s">
        <v>39</v>
      </c>
      <c r="L4" s="6" t="s">
        <v>40</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11" t="n">
        <f aca="false">INDEX(Pipeline!$J$5:$J$14,MATCH($A5,Pipeline!$Y$5:$Y$14,0))</f>
        <v>9</v>
      </c>
      <c r="F5" s="8" t="str">
        <f aca="false">INDEX(Pipeline!$G$5:$G$14,MATCH($A5,Pipeline!$Y$5:$Y$14,0))</f>
        <v>Engaging customer</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€48k for e-signature; champion confirms signatory and PO need; signature booked for 27 Oct.</v>
      </c>
      <c r="I5" s="8" t="str">
        <f aca="false">INDEX(Pipeline!$W$5:$W$14,MATCH($A5,Pipeline!$Y$5:$Y$14,0))</f>
        <v>Me</v>
      </c>
      <c r="J5" s="8" t="str">
        <f aca="false">INDEX(Pipeline!$AA$5:$AA$14,MATCH($A5,Pipeline!$Y$5:$Y$14,0))&amp;""</f>
        <v>CSM</v>
      </c>
      <c r="K5" s="10" t="n">
        <f aca="false">INDEX(Pipeline!$X$5:$X$14,MATCH($A5,Pipeline!$Y$5:$Y$14,0))</f>
        <v>46315</v>
      </c>
      <c r="L5" s="8"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11"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pulls instance owner/admin emails from product data; I call and email the named person and agree a signing date. Manager confirms the grace period before access is restricted.</v>
      </c>
      <c r="I6" s="8" t="str">
        <f aca="false">INDEX(Pipeline!$W$5:$W$14,MATCH($A6,Pipeline!$Y$5:$Y$14,0))</f>
        <v>Me</v>
      </c>
      <c r="J6" s="8" t="str">
        <f aca="false">INDEX(Pipeline!$AA$5:$AA$14,MATCH($A6,Pipeline!$Y$5:$Y$14,0))&amp;""</f>
        <v>CSM, Manager</v>
      </c>
      <c r="K6" s="10" t="n">
        <f aca="false">INDEX(Pipeline!$X$5:$X$14,MATCH($A6,Pipeline!$Y$5:$Y$14,0))</f>
        <v>46316</v>
      </c>
      <c r="L6" s="8"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11" t="n">
        <f aca="false">INDEX(Pipeline!$J$5:$J$14,MATCH($A7,Pipeline!$Y$5:$Y$14,0))</f>
        <v>13</v>
      </c>
      <c r="F7" s="8" t="str">
        <f aca="false">INDEX(Pipeline!$G$5:$G$14,MATCH($A7,Pipeline!$Y$5:$Y$14,0))</f>
        <v>Billing blocker</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holds dunning. Renews at €26k (renewal value).</v>
      </c>
      <c r="I7" s="8" t="str">
        <f aca="false">INDEX(Pipeline!$W$5:$W$14,MATCH($A7,Pipeline!$Y$5:$Y$14,0))</f>
        <v>CSM</v>
      </c>
      <c r="J7" s="8" t="str">
        <f aca="false">INDEX(Pipeline!$AA$5:$AA$14,MATCH($A7,Pipeline!$Y$5:$Y$14,0))&amp;""</f>
        <v>Me, Finance</v>
      </c>
      <c r="K7" s="10" t="n">
        <f aca="false">INDEX(Pipeline!$X$5:$X$14,MATCH($A7,Pipeline!$Y$5:$Y$14,0))</f>
        <v>46317</v>
      </c>
      <c r="L7" s="8"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11" t="n">
        <f aca="false">INDEX(Pipeline!$J$5:$J$14,MATCH($A8,Pipeline!$Y$5:$Y$14,0))</f>
        <v>18</v>
      </c>
      <c r="F8" s="8" t="str">
        <f aca="false">INDEX(Pipeline!$G$5:$G$14,MATCH($A8,Pipeline!$Y$5:$Y$14,0))</f>
        <v>Not started</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Me, Manager, VP CS (exec sponsor)</v>
      </c>
      <c r="K8" s="10" t="n">
        <f aca="false">INDEX(Pipeline!$X$5:$X$14,MATCH($A8,Pipeline!$Y$5:$Y$14,0))</f>
        <v>46318</v>
      </c>
      <c r="L8" s="8"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11"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Security pack today. Renew on the current MSA and negotiate the MSA in parallel.</v>
      </c>
      <c r="I9" s="8" t="str">
        <f aca="false">INDEX(Pipeline!$W$5:$W$14,MATCH($A9,Pipeline!$Y$5:$Y$14,0))</f>
        <v>Legal</v>
      </c>
      <c r="J9" s="8" t="str">
        <f aca="false">INDEX(Pipeline!$AA$5:$AA$14,MATCH($A9,Pipeline!$Y$5:$Y$14,0))&amp;""</f>
        <v>Me, Security</v>
      </c>
      <c r="K9" s="10" t="n">
        <f aca="false">INDEX(Pipeline!$X$5:$X$14,MATCH($A9,Pipeline!$Y$5:$Y$14,0))</f>
        <v>46318</v>
      </c>
      <c r="L9" s="8" t="str">
        <f aca="false">INDEX(Pipeline!$AB$5:$AB$14,MATCH($A9,Pipeline!$Y$5:$Y$14,0))&amp;""</f>
        <v>Yes: Legal lead, redline response by 30 Oct and renew on the current MSA</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11"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Finance, Legal, CSM</v>
      </c>
      <c r="K10" s="10" t="n">
        <f aca="false">INDEX(Pipeline!$X$5:$X$14,MATCH($A10,Pipeline!$Y$5:$Y$14,0))</f>
        <v>46315</v>
      </c>
      <c r="L10" s="8"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11" t="n">
        <f aca="false">INDEX(Pipeline!$J$5:$J$14,MATCH($A11,Pipeline!$Y$5:$Y$14,0))</f>
        <v>50</v>
      </c>
      <c r="F11" s="8" t="str">
        <f aca="false">INDEX(Pipeline!$G$5:$G$14,MATCH($A11,Pipeline!$Y$5:$Y$14,0))</f>
        <v>Engaging customer</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Legal, Security</v>
      </c>
      <c r="K11" s="10" t="n">
        <f aca="false">INDEX(Pipeline!$X$5:$X$14,MATCH($A11,Pipeline!$Y$5:$Y$14,0))</f>
        <v>46322</v>
      </c>
      <c r="L11" s="8"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11" t="n">
        <f aca="false">INDEX(Pipeline!$J$5:$J$14,MATCH($A12,Pipeline!$Y$5:$Y$14,0))</f>
        <v>39</v>
      </c>
      <c r="F12" s="8" t="str">
        <f aca="false">INDEX(Pipeline!$G$5:$G$14,MATCH($A12,Pipeline!$Y$5:$Y$14,0))</f>
        <v>Not started</v>
      </c>
      <c r="G12" s="8" t="str">
        <f aca="false">INDEX(Pipeline!$Z$5:$Z$14,MATCH($A12,Pipeline!$Y$5:$Y$14,0))&amp;""</f>
        <v>Usage +40%, near the execution cap: expansion, and a throttling risk.</v>
      </c>
      <c r="H12" s="8" t="str">
        <f aca="false">INDEX(Pipeline!$V$5:$V$14,MATCH($A12,Pipeline!$Y$5:$Y$14,0))&amp;""</f>
        <v>CSM usage review; quote like-for-like (€35k) and open a linked Upsell opportunity for the next execution tier.</v>
      </c>
      <c r="I12" s="8" t="str">
        <f aca="false">INDEX(Pipeline!$W$5:$W$14,MATCH($A12,Pipeline!$Y$5:$Y$14,0))</f>
        <v>CSM</v>
      </c>
      <c r="J12" s="8" t="str">
        <f aca="false">INDEX(Pipeline!$AA$5:$AA$14,MATCH($A12,Pipeline!$Y$5:$Y$14,0))&amp;""</f>
        <v>Me</v>
      </c>
      <c r="K12" s="10" t="n">
        <f aca="false">INDEX(Pipeline!$X$5:$X$14,MATCH($A12,Pipeline!$Y$5:$Y$14,0))</f>
        <v>46323</v>
      </c>
      <c r="L12" s="8"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11" t="n">
        <f aca="false">INDEX(Pipeline!$J$5:$J$14,MATCH($A13,Pipeline!$Y$5:$Y$14,0))</f>
        <v>32</v>
      </c>
      <c r="F13" s="8" t="str">
        <f aca="false">INDEX(Pipeline!$G$5:$G$14,MATCH($A13,Pipeline!$Y$5:$Y$14,0))</f>
        <v>Billing blocker</v>
      </c>
      <c r="G13" s="8" t="str">
        <f aca="false">INDEX(Pipeline!$Z$5:$Z$14,MATCH($A13,Pipeline!$Y$5:$Y$14,0))&amp;""</f>
        <v>Auto-renewal would invoice the wrong legal entity; cancellation deadline 22 Oct (assumed 30-day notice).</v>
      </c>
      <c r="H13" s="8" t="str">
        <f aca="false">INDEX(Pipeline!$V$5:$V$14,MATCH($A13,Pipeline!$Y$5:$Y$14,0))&amp;""</f>
        <v>New entity details (name, VAT, address); Legal: billing change or assignment; Finance updates billing before the invoice run. Cancellation deadline 22 Oct (assumed 30 days).</v>
      </c>
      <c r="I13" s="8" t="str">
        <f aca="false">INDEX(Pipeline!$W$5:$W$14,MATCH($A13,Pipeline!$Y$5:$Y$14,0))</f>
        <v>Me</v>
      </c>
      <c r="J13" s="8" t="str">
        <f aca="false">INDEX(Pipeline!$AA$5:$AA$14,MATCH($A13,Pipeline!$Y$5:$Y$14,0))&amp;""</f>
        <v>Finance, Legal</v>
      </c>
      <c r="K13" s="10" t="n">
        <f aca="false">INDEX(Pipeline!$X$5:$X$14,MATCH($A13,Pipeline!$Y$5:$Y$14,0))</f>
        <v>46317</v>
      </c>
      <c r="L13" s="8"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11" t="n">
        <f aca="false">INDEX(Pipeline!$J$5:$J$14,MATCH($A14,Pipeline!$Y$5:$Y$14,0))</f>
        <v>60</v>
      </c>
      <c r="F14" s="8" t="str">
        <f aca="false">INDEX(Pipeline!$G$5:$G$14,MATCH($A14,Pipeline!$Y$5:$Y$14,0))</f>
        <v>At risk: before notice deadline</v>
      </c>
      <c r="G14" s="8" t="str">
        <f aca="false">INDEX(Pipeline!$Z$5:$Z$14,MATCH($A14,Pipeline!$Y$5:$Y$14,0))&amp;""</f>
        <v>Auto-renewal, usage -20%, Q1 budget cuts, unresponsive. 60 days, but the notice deadline is ~19 Nov (assumed 30-day notice).</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Me</v>
      </c>
      <c r="K14" s="10" t="n">
        <f aca="false">INDEX(Pipeline!$X$5:$X$14,MATCH($A14,Pipeline!$Y$5:$Y$14,0))</f>
        <v>46325</v>
      </c>
      <c r="L14" s="8" t="str">
        <f aca="false">INDEX(Pipeline!$AB$5:$AB$14,MATCH($A14,Pipeline!$Y$5:$Y$14,0))&amp;""</f>
        <v/>
      </c>
    </row>
    <row r="16" customFormat="false" ht="15" hidden="false" customHeight="false" outlineLevel="0" collapsed="false">
      <c r="A16" s="2" t="s">
        <v>41</v>
      </c>
      <c r="C16" s="12" t="str">
        <f aca="false">COUNTIF(L5:L14,"Yes*")&amp;" accounts, "&amp;TEXT(SUMIF(L5:L14,"Yes*",C5:C14),"€#,##0")&amp;" ARR"</f>
        <v>3 accounts, €116,000 ARR</v>
      </c>
    </row>
    <row r="17" customFormat="false" ht="15" hidden="false" customHeight="false" outlineLevel="0" collapsed="false">
      <c r="A17" s="2" t="s">
        <v>42</v>
      </c>
      <c r="C17" s="13" t="s">
        <v>43</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20"/>
    <col collapsed="false" customWidth="true" hidden="false" outlineLevel="0" max="28" min="28" style="0" width="40"/>
    <col collapsed="false" customWidth="true" hidden="false" outlineLevel="0" max="29" min="29" style="0" width="10"/>
    <col collapsed="false" customWidth="true" hidden="false" outlineLevel="0" max="30" min="30" style="0" width="13"/>
    <col collapsed="false" customWidth="true" hidden="false" outlineLevel="0" max="31" min="31" style="0" width="34"/>
    <col collapsed="false" customWidth="true" hidden="false" outlineLevel="0" max="32" min="32" style="0" width="26"/>
    <col collapsed="false" customWidth="true" hidden="false" outlineLevel="0" max="33" min="33" style="0" width="10"/>
    <col collapsed="false" customWidth="true" hidden="false" outlineLevel="0" max="34" min="34" style="0" width="14"/>
  </cols>
  <sheetData>
    <row r="1" customFormat="false" ht="16.15" hidden="false" customHeight="false" outlineLevel="0" collapsed="false">
      <c r="A1" s="4" t="s">
        <v>44</v>
      </c>
    </row>
    <row r="2" customFormat="false" ht="15" hidden="false" customHeight="false" outlineLevel="0" collapsed="false">
      <c r="A2" s="2" t="s">
        <v>3</v>
      </c>
      <c r="B2" s="14" t="n">
        <v>46315</v>
      </c>
      <c r="D2" s="2" t="s">
        <v>45</v>
      </c>
      <c r="E2" s="14" t="n">
        <v>46325</v>
      </c>
      <c r="G2" s="5" t="s">
        <v>46</v>
      </c>
    </row>
    <row r="4" customFormat="false" ht="31.5" hidden="false" customHeight="true" outlineLevel="0" collapsed="false">
      <c r="A4" s="6" t="s">
        <v>30</v>
      </c>
      <c r="B4" s="6" t="s">
        <v>47</v>
      </c>
      <c r="C4" s="6" t="s">
        <v>32</v>
      </c>
      <c r="D4" s="6" t="s">
        <v>48</v>
      </c>
      <c r="E4" s="6" t="s">
        <v>49</v>
      </c>
      <c r="F4" s="6" t="s">
        <v>50</v>
      </c>
      <c r="G4" s="6" t="s">
        <v>34</v>
      </c>
      <c r="H4" s="6" t="s">
        <v>51</v>
      </c>
      <c r="I4" s="6" t="s">
        <v>52</v>
      </c>
      <c r="J4" s="6" t="s">
        <v>53</v>
      </c>
      <c r="K4" s="6" t="s">
        <v>54</v>
      </c>
      <c r="L4" s="6" t="s">
        <v>55</v>
      </c>
      <c r="M4" s="6" t="s">
        <v>56</v>
      </c>
      <c r="N4" s="6" t="s">
        <v>57</v>
      </c>
      <c r="O4" s="6" t="s">
        <v>58</v>
      </c>
      <c r="P4" s="6" t="s">
        <v>7</v>
      </c>
      <c r="Q4" s="6" t="s">
        <v>59</v>
      </c>
      <c r="R4" s="6" t="s">
        <v>60</v>
      </c>
      <c r="S4" s="6" t="s">
        <v>61</v>
      </c>
      <c r="T4" s="6" t="s">
        <v>62</v>
      </c>
      <c r="U4" s="6" t="s">
        <v>63</v>
      </c>
      <c r="V4" s="6" t="s">
        <v>36</v>
      </c>
      <c r="W4" s="6" t="s">
        <v>37</v>
      </c>
      <c r="X4" s="6" t="s">
        <v>39</v>
      </c>
      <c r="Y4" s="6" t="s">
        <v>29</v>
      </c>
      <c r="Z4" s="6" t="s">
        <v>35</v>
      </c>
      <c r="AA4" s="6" t="s">
        <v>38</v>
      </c>
      <c r="AB4" s="6" t="s">
        <v>40</v>
      </c>
      <c r="AC4" s="6" t="s">
        <v>64</v>
      </c>
      <c r="AD4" s="6" t="s">
        <v>65</v>
      </c>
      <c r="AE4" s="6" t="s">
        <v>66</v>
      </c>
      <c r="AF4" s="6" t="s">
        <v>67</v>
      </c>
      <c r="AG4" s="6" t="s">
        <v>68</v>
      </c>
      <c r="AH4" s="6" t="s">
        <v>69</v>
      </c>
    </row>
    <row r="5" customFormat="false" ht="48" hidden="false" customHeight="true" outlineLevel="0" collapsed="false">
      <c r="A5" s="15" t="s">
        <v>70</v>
      </c>
      <c r="B5" s="16" t="n">
        <v>21000</v>
      </c>
      <c r="C5" s="17" t="n">
        <v>46310</v>
      </c>
      <c r="D5" s="18" t="s">
        <v>71</v>
      </c>
      <c r="E5" s="19" t="n">
        <v>0</v>
      </c>
      <c r="F5" s="18" t="s">
        <v>72</v>
      </c>
      <c r="G5" s="18" t="s">
        <v>73</v>
      </c>
      <c r="H5" s="20" t="s">
        <v>74</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INDEX(Probability!$B$5:$F$19,MATCH(G5,Probability!$A$5:$A$19,0),MATCH(K5,Probability!$B$4:$F$4,0))</f>
        <v>0.5</v>
      </c>
      <c r="Q5" s="15" t="str">
        <f aca="false">IF(I5&lt;=O5,"Yes","No")</f>
        <v>Yes</v>
      </c>
      <c r="R5" s="22" t="n">
        <f aca="false">IF(Q5="Yes",P5,0)</f>
        <v>0.5</v>
      </c>
      <c r="S5" s="23" t="n">
        <f aca="false">SUMIFS(Products!$K:$K,Products!$A:$A,A5)</f>
        <v>21000</v>
      </c>
      <c r="T5" s="23" t="n">
        <f aca="false">S5*R5</f>
        <v>10500</v>
      </c>
      <c r="U5" s="15" t="str">
        <f aca="false">IF(G5="Cancelled","Lost",IF(Q5="No","Slips quarter",IF(OR(J5&lt;0,AND(J5&lt;=30,OR(G5="--None--",G5="Not started",G5="Engaging customer",G5="Negotiation",G5="Billing blocker",G5="At risk: before notice deadline",G5="Notice received"))),"Late","On time")))</f>
        <v>Late</v>
      </c>
      <c r="V5" s="20" t="s">
        <v>75</v>
      </c>
      <c r="W5" s="18" t="s">
        <v>76</v>
      </c>
      <c r="X5" s="17" t="n">
        <v>46316</v>
      </c>
      <c r="Y5" s="18" t="n">
        <v>2</v>
      </c>
      <c r="Z5" s="20" t="s">
        <v>77</v>
      </c>
      <c r="AA5" s="20" t="s">
        <v>78</v>
      </c>
      <c r="AB5" s="20" t="s">
        <v>79</v>
      </c>
      <c r="AC5" s="18"/>
      <c r="AD5" s="21" t="str">
        <f aca="false">IF(AC5="","",C5-AC5)</f>
        <v/>
      </c>
      <c r="AE5" s="8" t="str">
        <f aca="false">IF(E5&gt;=0.2,"Over-usage: open Upsell opp + CSM/Renewals task",IF(E5&lt;=-0.2,"Under-usage: flag CSM"&amp;IF(D5="Auto","; set At risk",""),""))</f>
        <v/>
      </c>
      <c r="AF5" s="20" t="s">
        <v>80</v>
      </c>
      <c r="AG5" s="22" t="n">
        <f aca="false">IF(I5&lt;=O5,INDEX(Probability!$B$5:$F$19,MATCH(AF5,Probability!$A$5:$A$19,0),MATCH(IF(C5-$E$2&lt;0,"Overdue",IF(C5-$E$2&lt;=30,"0-30",IF(C5-$E$2&lt;=60,"31-60",IF(C5-$E$2&lt;=90,"61-90","&gt;90")))),Probability!$B$4:$F$4,0)),0)</f>
        <v>0.7</v>
      </c>
      <c r="AH5" s="23" t="n">
        <f aca="false">S5*AG5</f>
        <v>14700</v>
      </c>
    </row>
    <row r="6" customFormat="false" ht="48" hidden="false" customHeight="true" outlineLevel="0" collapsed="false">
      <c r="A6" s="15" t="s">
        <v>81</v>
      </c>
      <c r="B6" s="16" t="n">
        <v>48000</v>
      </c>
      <c r="C6" s="17" t="n">
        <v>46324</v>
      </c>
      <c r="D6" s="18" t="s">
        <v>71</v>
      </c>
      <c r="E6" s="19" t="n">
        <v>0.12</v>
      </c>
      <c r="F6" s="18" t="s">
        <v>82</v>
      </c>
      <c r="G6" s="18" t="s">
        <v>83</v>
      </c>
      <c r="H6" s="20" t="s">
        <v>84</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INDEX(Probability!$B$5:$F$19,MATCH(G6,Probability!$A$5:$A$19,0),MATCH(K6,Probability!$B$4:$F$4,0))</f>
        <v>0.25</v>
      </c>
      <c r="Q6" s="15" t="str">
        <f aca="false">IF(I6&lt;=O6,"Yes","No")</f>
        <v>Yes</v>
      </c>
      <c r="R6" s="22" t="n">
        <f aca="false">IF(Q6="Yes",P6,0)</f>
        <v>0.25</v>
      </c>
      <c r="S6" s="23" t="n">
        <f aca="false">SUMIFS(Products!$K:$K,Products!$A:$A,A6)</f>
        <v>48000</v>
      </c>
      <c r="T6" s="23" t="n">
        <f aca="false">S6*R6</f>
        <v>12000</v>
      </c>
      <c r="U6" s="15" t="str">
        <f aca="false">IF(G6="Cancelled","Lost",IF(Q6="No","Slips quarter",IF(OR(J6&lt;0,AND(J6&lt;=30,OR(G6="--None--",G6="Not started",G6="Engaging customer",G6="Negotiation",G6="Billing blocker",G6="At risk: before notice deadline",G6="Notice received"))),"Late","On time")))</f>
        <v>Late</v>
      </c>
      <c r="V6" s="20" t="s">
        <v>85</v>
      </c>
      <c r="W6" s="18" t="s">
        <v>76</v>
      </c>
      <c r="X6" s="17" t="n">
        <v>46315</v>
      </c>
      <c r="Y6" s="18" t="n">
        <v>1</v>
      </c>
      <c r="Z6" s="20" t="s">
        <v>86</v>
      </c>
      <c r="AA6" s="20" t="s">
        <v>87</v>
      </c>
      <c r="AB6" s="20"/>
      <c r="AC6" s="18"/>
      <c r="AD6" s="21" t="str">
        <f aca="false">IF(AC6="","",C6-AC6)</f>
        <v/>
      </c>
      <c r="AE6" s="8" t="str">
        <f aca="false">IF(E6&gt;=0.2,"Over-usage: open Upsell opp + CSM/Renewals task",IF(E6&lt;=-0.2,"Under-usage: flag CSM"&amp;IF(D6="Auto","; set At risk",""),""))</f>
        <v/>
      </c>
      <c r="AF6" s="20" t="s">
        <v>88</v>
      </c>
      <c r="AG6" s="22" t="n">
        <f aca="false">IF(I6&lt;=O6,INDEX(Probability!$B$5:$F$19,MATCH(AF6,Probability!$A$5:$A$19,0),MATCH(IF(C6-$E$2&lt;0,"Overdue",IF(C6-$E$2&lt;=30,"0-30",IF(C6-$E$2&lt;=60,"31-60",IF(C6-$E$2&lt;=90,"61-90","&gt;90")))),Probability!$B$4:$F$4,0)),0)</f>
        <v>0.95</v>
      </c>
      <c r="AH6" s="23" t="n">
        <f aca="false">S6*AG6</f>
        <v>45600</v>
      </c>
    </row>
    <row r="7" customFormat="false" ht="48" hidden="false" customHeight="true" outlineLevel="0" collapsed="false">
      <c r="A7" s="15" t="s">
        <v>89</v>
      </c>
      <c r="B7" s="16" t="n">
        <v>26000</v>
      </c>
      <c r="C7" s="17" t="n">
        <v>46328</v>
      </c>
      <c r="D7" s="18" t="s">
        <v>90</v>
      </c>
      <c r="E7" s="19" t="n">
        <v>0</v>
      </c>
      <c r="F7" s="18" t="s">
        <v>82</v>
      </c>
      <c r="G7" s="18" t="s">
        <v>91</v>
      </c>
      <c r="H7" s="20" t="s">
        <v>92</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INDEX(Probability!$B$5:$F$19,MATCH(G7,Probability!$A$5:$A$19,0),MATCH(K7,Probability!$B$4:$F$4,0))</f>
        <v>0.6</v>
      </c>
      <c r="Q7" s="15" t="str">
        <f aca="false">IF(I7&lt;=O7,"Yes","No")</f>
        <v>Yes</v>
      </c>
      <c r="R7" s="22" t="n">
        <f aca="false">IF(Q7="Yes",P7,0)</f>
        <v>0.6</v>
      </c>
      <c r="S7" s="23" t="n">
        <f aca="false">SUMIFS(Products!$K:$K,Products!$A:$A,A7)</f>
        <v>26000</v>
      </c>
      <c r="T7" s="23" t="n">
        <f aca="false">S7*R7</f>
        <v>15600</v>
      </c>
      <c r="U7" s="15" t="str">
        <f aca="false">IF(G7="Cancelled","Lost",IF(Q7="No","Slips quarter",IF(OR(J7&lt;0,AND(J7&lt;=30,OR(G7="--None--",G7="Not started",G7="Engaging customer",G7="Negotiation",G7="Billing blocker",G7="At risk: before notice deadline",G7="Notice received"))),"Late","On time")))</f>
        <v>Late</v>
      </c>
      <c r="V7" s="20" t="s">
        <v>93</v>
      </c>
      <c r="W7" s="18" t="s">
        <v>87</v>
      </c>
      <c r="X7" s="17" t="n">
        <v>46317</v>
      </c>
      <c r="Y7" s="18" t="n">
        <v>3</v>
      </c>
      <c r="Z7" s="20" t="s">
        <v>94</v>
      </c>
      <c r="AA7" s="20" t="s">
        <v>95</v>
      </c>
      <c r="AB7" s="20"/>
      <c r="AC7" s="18" t="n">
        <v>30</v>
      </c>
      <c r="AD7" s="21" t="n">
        <f aca="false">IF(AC7="","",C7-AC7)</f>
        <v>46298</v>
      </c>
      <c r="AE7" s="8" t="str">
        <f aca="false">IF(E7&gt;=0.2,"Over-usage: open Upsell opp + CSM/Renewals task",IF(E7&lt;=-0.2,"Under-usage: flag CSM"&amp;IF(D7="Auto","; set At risk",""),""))</f>
        <v/>
      </c>
      <c r="AF7" s="20" t="s">
        <v>96</v>
      </c>
      <c r="AG7" s="22" t="n">
        <f aca="false">IF(I7&lt;=O7,INDEX(Probability!$B$5:$F$19,MATCH(AF7,Probability!$A$5:$A$19,0),MATCH(IF(C7-$E$2&lt;0,"Overdue",IF(C7-$E$2&lt;=30,"0-30",IF(C7-$E$2&lt;=60,"31-60",IF(C7-$E$2&lt;=90,"61-90","&gt;90")))),Probability!$B$4:$F$4,0)),0)</f>
        <v>0.97</v>
      </c>
      <c r="AH7" s="23" t="n">
        <f aca="false">S7*AG7</f>
        <v>25220</v>
      </c>
    </row>
    <row r="8" customFormat="false" ht="48" hidden="false" customHeight="true" outlineLevel="0" collapsed="false">
      <c r="A8" s="15" t="s">
        <v>97</v>
      </c>
      <c r="B8" s="16" t="n">
        <v>45000</v>
      </c>
      <c r="C8" s="17" t="n">
        <v>46333</v>
      </c>
      <c r="D8" s="18" t="s">
        <v>71</v>
      </c>
      <c r="E8" s="19" t="n">
        <v>-0.35</v>
      </c>
      <c r="F8" s="18" t="s">
        <v>98</v>
      </c>
      <c r="G8" s="18" t="s">
        <v>99</v>
      </c>
      <c r="H8" s="20" t="s">
        <v>100</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INDEX(Probability!$B$5:$F$19,MATCH(G8,Probability!$A$5:$A$19,0),MATCH(K8,Probability!$B$4:$F$4,0))</f>
        <v>0.1</v>
      </c>
      <c r="Q8" s="15" t="str">
        <f aca="false">IF(I8&lt;=O8,"Yes","No")</f>
        <v>Yes</v>
      </c>
      <c r="R8" s="22" t="n">
        <f aca="false">IF(Q8="Yes",P8,0)</f>
        <v>0.1</v>
      </c>
      <c r="S8" s="23" t="n">
        <f aca="false">SUMIFS(Products!$K:$K,Products!$A:$A,A8)</f>
        <v>30000</v>
      </c>
      <c r="T8" s="23" t="n">
        <f aca="false">S8*R8</f>
        <v>3000</v>
      </c>
      <c r="U8" s="15" t="str">
        <f aca="false">IF(G8="Cancelled","Lost",IF(Q8="No","Slips quarter",IF(OR(J8&lt;0,AND(J8&lt;=30,OR(G8="--None--",G8="Not started",G8="Engaging customer",G8="Negotiation",G8="Billing blocker",G8="At risk: before notice deadline",G8="Notice received"))),"Late","On time")))</f>
        <v>Late</v>
      </c>
      <c r="V8" s="20" t="s">
        <v>101</v>
      </c>
      <c r="W8" s="18" t="s">
        <v>87</v>
      </c>
      <c r="X8" s="17" t="n">
        <v>46318</v>
      </c>
      <c r="Y8" s="18" t="n">
        <v>4</v>
      </c>
      <c r="Z8" s="20" t="s">
        <v>102</v>
      </c>
      <c r="AA8" s="20" t="s">
        <v>103</v>
      </c>
      <c r="AB8" s="20" t="s">
        <v>104</v>
      </c>
      <c r="AC8" s="18" t="n">
        <v>30</v>
      </c>
      <c r="AD8" s="21" t="n">
        <f aca="false">IF(AC8="","",C8-AC8)</f>
        <v>46303</v>
      </c>
      <c r="AE8" s="8" t="str">
        <f aca="false">IF(E8&gt;=0.2,"Over-usage: open Upsell opp + CSM/Renewals task",IF(E8&lt;=-0.2,"Under-usage: flag CSM"&amp;IF(D8="Auto","; set At risk",""),""))</f>
        <v>Under-usage: flag CSM</v>
      </c>
      <c r="AF8" s="20" t="s">
        <v>83</v>
      </c>
      <c r="AG8" s="22" t="n">
        <f aca="false">IF(I8&lt;=O8,INDEX(Probability!$B$5:$F$19,MATCH(AF8,Probability!$A$5:$A$19,0),MATCH(IF(C8-$E$2&lt;0,"Overdue",IF(C8-$E$2&lt;=30,"0-30",IF(C8-$E$2&lt;=60,"31-60",IF(C8-$E$2&lt;=90,"61-90","&gt;90")))),Probability!$B$4:$F$4,0)),0)</f>
        <v>0.25</v>
      </c>
      <c r="AH8" s="23" t="n">
        <f aca="false">S8*AG8</f>
        <v>7500</v>
      </c>
    </row>
    <row r="9" customFormat="false" ht="48" hidden="false" customHeight="true" outlineLevel="0" collapsed="false">
      <c r="A9" s="15" t="s">
        <v>105</v>
      </c>
      <c r="B9" s="16" t="n">
        <v>36000</v>
      </c>
      <c r="C9" s="17" t="n">
        <v>46370</v>
      </c>
      <c r="D9" s="18" t="s">
        <v>71</v>
      </c>
      <c r="E9" s="19" t="n">
        <v>-0.1</v>
      </c>
      <c r="F9" s="18" t="s">
        <v>72</v>
      </c>
      <c r="G9" s="18" t="s">
        <v>106</v>
      </c>
      <c r="H9" s="20" t="s">
        <v>107</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INDEX(Probability!$B$5:$F$19,MATCH(G9,Probability!$A$5:$A$19,0),MATCH(K9,Probability!$B$4:$F$4,0))</f>
        <v>0.5</v>
      </c>
      <c r="Q9" s="15" t="str">
        <f aca="false">IF(I9&lt;=O9,"Yes","No")</f>
        <v>Yes</v>
      </c>
      <c r="R9" s="22" t="n">
        <f aca="false">IF(Q9="Yes",P9,0)</f>
        <v>0.5</v>
      </c>
      <c r="S9" s="23" t="n">
        <f aca="false">SUMIFS(Products!$K:$K,Products!$A:$A,A9)</f>
        <v>32400</v>
      </c>
      <c r="T9" s="23" t="n">
        <f aca="false">S9*R9</f>
        <v>16200</v>
      </c>
      <c r="U9" s="15" t="str">
        <f aca="false">IF(G9="Cancelled","Lost",IF(Q9="No","Slips quarter",IF(OR(J9&lt;0,AND(J9&lt;=30,OR(G9="--None--",G9="Not started",G9="Engaging customer",G9="Negotiation",G9="Billing blocker",G9="At risk: before notice deadline",G9="Notice received"))),"Late","On time")))</f>
        <v>On time</v>
      </c>
      <c r="V9" s="20" t="s">
        <v>108</v>
      </c>
      <c r="W9" s="18" t="s">
        <v>76</v>
      </c>
      <c r="X9" s="17" t="n">
        <v>46315</v>
      </c>
      <c r="Y9" s="18" t="n">
        <v>6</v>
      </c>
      <c r="Z9" s="20" t="s">
        <v>109</v>
      </c>
      <c r="AA9" s="20" t="s">
        <v>110</v>
      </c>
      <c r="AB9" s="20"/>
      <c r="AC9" s="18"/>
      <c r="AD9" s="21" t="str">
        <f aca="false">IF(AC9="","",C9-AC9)</f>
        <v/>
      </c>
      <c r="AE9" s="8" t="str">
        <f aca="false">IF(E9&gt;=0.2,"Over-usage: open Upsell opp + CSM/Renewals task",IF(E9&lt;=-0.2,"Under-usage: flag CSM"&amp;IF(D9="Auto","; set At risk",""),""))</f>
        <v/>
      </c>
      <c r="AF9" s="20" t="s">
        <v>106</v>
      </c>
      <c r="AG9" s="22" t="n">
        <f aca="false">IF(I9&lt;=O9,INDEX(Probability!$B$5:$F$19,MATCH(AF9,Probability!$A$5:$A$19,0),MATCH(IF(C9-$E$2&lt;0,"Overdue",IF(C9-$E$2&lt;=30,"0-30",IF(C9-$E$2&lt;=60,"31-60",IF(C9-$E$2&lt;=90,"61-90","&gt;90")))),Probability!$B$4:$F$4,0)),0)</f>
        <v>0.5</v>
      </c>
      <c r="AH9" s="23" t="n">
        <f aca="false">S9*AG9</f>
        <v>16200</v>
      </c>
    </row>
    <row r="10" customFormat="false" ht="48" hidden="false" customHeight="true" outlineLevel="0" collapsed="false">
      <c r="A10" s="15" t="s">
        <v>111</v>
      </c>
      <c r="B10" s="16" t="n">
        <v>50000</v>
      </c>
      <c r="C10" s="17" t="n">
        <v>46344</v>
      </c>
      <c r="D10" s="18" t="s">
        <v>71</v>
      </c>
      <c r="E10" s="19" t="n">
        <v>0.05</v>
      </c>
      <c r="F10" s="18" t="s">
        <v>72</v>
      </c>
      <c r="G10" s="18" t="s">
        <v>106</v>
      </c>
      <c r="H10" s="20" t="s">
        <v>112</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INDEX(Probability!$B$5:$F$19,MATCH(G10,Probability!$A$5:$A$19,0),MATCH(K10,Probability!$B$4:$F$4,0))</f>
        <v>0.4</v>
      </c>
      <c r="Q10" s="15" t="str">
        <f aca="false">IF(I10&lt;=O10,"Yes","No")</f>
        <v>Yes</v>
      </c>
      <c r="R10" s="22" t="n">
        <f aca="false">IF(Q10="Yes",P10,0)</f>
        <v>0.4</v>
      </c>
      <c r="S10" s="23" t="n">
        <f aca="false">SUMIFS(Products!$K:$K,Products!$A:$A,A10)</f>
        <v>50000</v>
      </c>
      <c r="T10" s="23" t="n">
        <f aca="false">S10*R10</f>
        <v>20000</v>
      </c>
      <c r="U10" s="15" t="str">
        <f aca="false">IF(G10="Cancelled","Lost",IF(Q10="No","Slips quarter",IF(OR(J10&lt;0,AND(J10&lt;=30,OR(G10="--None--",G10="Not started",G10="Engaging customer",G10="Negotiation",G10="Billing blocker",G10="At risk: before notice deadline",G10="Notice received"))),"Late","On time")))</f>
        <v>Late</v>
      </c>
      <c r="V10" s="20" t="s">
        <v>113</v>
      </c>
      <c r="W10" s="18" t="s">
        <v>114</v>
      </c>
      <c r="X10" s="17" t="n">
        <v>46318</v>
      </c>
      <c r="Y10" s="18" t="n">
        <v>5</v>
      </c>
      <c r="Z10" s="20" t="s">
        <v>115</v>
      </c>
      <c r="AA10" s="20" t="s">
        <v>116</v>
      </c>
      <c r="AB10" s="20" t="s">
        <v>117</v>
      </c>
      <c r="AC10" s="18"/>
      <c r="AD10" s="21" t="str">
        <f aca="false">IF(AC10="","",C10-AC10)</f>
        <v/>
      </c>
      <c r="AE10" s="8" t="str">
        <f aca="false">IF(E10&gt;=0.2,"Over-usage: open Upsell opp + CSM/Renewals task",IF(E10&lt;=-0.2,"Under-usage: flag CSM"&amp;IF(D10="Auto","; set At risk",""),""))</f>
        <v/>
      </c>
      <c r="AF10" s="20" t="s">
        <v>73</v>
      </c>
      <c r="AG10" s="22" t="n">
        <f aca="false">IF(I10&lt;=O10,INDEX(Probability!$B$5:$F$19,MATCH(AF10,Probability!$A$5:$A$19,0),MATCH(IF(C10-$E$2&lt;0,"Overdue",IF(C10-$E$2&lt;=30,"0-30",IF(C10-$E$2&lt;=60,"31-60",IF(C10-$E$2&lt;=90,"61-90","&gt;90")))),Probability!$B$4:$F$4,0)),0)</f>
        <v>0.75</v>
      </c>
      <c r="AH10" s="23" t="n">
        <f aca="false">S10*AG10</f>
        <v>37500</v>
      </c>
    </row>
    <row r="11" customFormat="false" ht="48" hidden="false" customHeight="true" outlineLevel="0" collapsed="false">
      <c r="A11" s="15" t="s">
        <v>118</v>
      </c>
      <c r="B11" s="16" t="n">
        <v>28000</v>
      </c>
      <c r="C11" s="17" t="n">
        <v>46347</v>
      </c>
      <c r="D11" s="18" t="s">
        <v>90</v>
      </c>
      <c r="E11" s="19" t="n">
        <v>0.08</v>
      </c>
      <c r="F11" s="18" t="s">
        <v>82</v>
      </c>
      <c r="G11" s="18" t="s">
        <v>91</v>
      </c>
      <c r="H11" s="20" t="s">
        <v>119</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INDEX(Probability!$B$5:$F$19,MATCH(G11,Probability!$A$5:$A$19,0),MATCH(K11,Probability!$B$4:$F$4,0))</f>
        <v>0.7</v>
      </c>
      <c r="Q11" s="15" t="str">
        <f aca="false">IF(I11&lt;=O11,"Yes","No")</f>
        <v>Yes</v>
      </c>
      <c r="R11" s="22" t="n">
        <f aca="false">IF(Q11="Yes",P11,0)</f>
        <v>0.7</v>
      </c>
      <c r="S11" s="23" t="n">
        <f aca="false">SUMIFS(Products!$K:$K,Products!$A:$A,A11)</f>
        <v>28000</v>
      </c>
      <c r="T11" s="23" t="n">
        <f aca="false">S11*R11</f>
        <v>19600</v>
      </c>
      <c r="U11" s="15" t="str">
        <f aca="false">IF(G11="Cancelled","Lost",IF(Q11="No","Slips quarter",IF(OR(J11&lt;0,AND(J11&lt;=30,OR(G11="--None--",G11="Not started",G11="Engaging customer",G11="Negotiation",G11="Billing blocker",G11="At risk: before notice deadline",G11="Notice received"))),"Late","On time")))</f>
        <v>On time</v>
      </c>
      <c r="V11" s="20" t="s">
        <v>120</v>
      </c>
      <c r="W11" s="18" t="s">
        <v>76</v>
      </c>
      <c r="X11" s="17" t="n">
        <v>46317</v>
      </c>
      <c r="Y11" s="18" t="n">
        <v>9</v>
      </c>
      <c r="Z11" s="20" t="s">
        <v>121</v>
      </c>
      <c r="AA11" s="20" t="s">
        <v>122</v>
      </c>
      <c r="AB11" s="20"/>
      <c r="AC11" s="18" t="n">
        <v>30</v>
      </c>
      <c r="AD11" s="21" t="n">
        <f aca="false">IF(AC11="","",C11-AC11)</f>
        <v>46317</v>
      </c>
      <c r="AE11" s="8" t="str">
        <f aca="false">IF(E11&gt;=0.2,"Over-usage: open Upsell opp + CSM/Renewals task",IF(E11&lt;=-0.2,"Under-usage: flag CSM"&amp;IF(D11="Auto","; set At risk",""),""))</f>
        <v/>
      </c>
      <c r="AF11" s="20" t="s">
        <v>96</v>
      </c>
      <c r="AG11" s="22" t="n">
        <f aca="false">IF(I11&lt;=O11,INDEX(Probability!$B$5:$F$19,MATCH(AF11,Probability!$A$5:$A$19,0),MATCH(IF(C11-$E$2&lt;0,"Overdue",IF(C11-$E$2&lt;=30,"0-30",IF(C11-$E$2&lt;=60,"31-60",IF(C11-$E$2&lt;=90,"61-90","&gt;90")))),Probability!$B$4:$F$4,0)),0)</f>
        <v>0.97</v>
      </c>
      <c r="AH11" s="23" t="n">
        <f aca="false">S11*AG11</f>
        <v>27160</v>
      </c>
    </row>
    <row r="12" customFormat="false" ht="48" hidden="false" customHeight="true" outlineLevel="0" collapsed="false">
      <c r="A12" s="15" t="s">
        <v>123</v>
      </c>
      <c r="B12" s="16" t="n">
        <v>35000</v>
      </c>
      <c r="C12" s="17" t="n">
        <v>46354</v>
      </c>
      <c r="D12" s="18" t="s">
        <v>71</v>
      </c>
      <c r="E12" s="19" t="n">
        <v>0.4</v>
      </c>
      <c r="F12" s="18" t="s">
        <v>82</v>
      </c>
      <c r="G12" s="18" t="s">
        <v>99</v>
      </c>
      <c r="H12" s="20" t="s">
        <v>124</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INDEX(Probability!$B$5:$F$19,MATCH(G12,Probability!$A$5:$A$19,0),MATCH(K12,Probability!$B$4:$F$4,0))</f>
        <v>0.2</v>
      </c>
      <c r="Q12" s="15" t="str">
        <f aca="false">IF(I12&lt;=O12,"Yes","No")</f>
        <v>Yes</v>
      </c>
      <c r="R12" s="22" t="n">
        <f aca="false">IF(Q12="Yes",P12,0)</f>
        <v>0.2</v>
      </c>
      <c r="S12" s="23" t="n">
        <f aca="false">SUMIFS(Products!$K:$K,Products!$A:$A,A12)</f>
        <v>35000</v>
      </c>
      <c r="T12" s="23" t="n">
        <f aca="false">S12*R12</f>
        <v>7000</v>
      </c>
      <c r="U12" s="15" t="str">
        <f aca="false">IF(G12="Cancelled","Lost",IF(Q12="No","Slips quarter",IF(OR(J12&lt;0,AND(J12&lt;=30,OR(G12="--None--",G12="Not started",G12="Engaging customer",G12="Negotiation",G12="Billing blocker",G12="At risk: before notice deadline",G12="Notice received"))),"Late","On time")))</f>
        <v>On time</v>
      </c>
      <c r="V12" s="20" t="s">
        <v>125</v>
      </c>
      <c r="W12" s="18" t="s">
        <v>87</v>
      </c>
      <c r="X12" s="17" t="n">
        <v>46323</v>
      </c>
      <c r="Y12" s="18" t="n">
        <v>8</v>
      </c>
      <c r="Z12" s="20" t="s">
        <v>126</v>
      </c>
      <c r="AA12" s="20" t="s">
        <v>76</v>
      </c>
      <c r="AB12" s="20"/>
      <c r="AC12" s="18"/>
      <c r="AD12" s="21" t="str">
        <f aca="false">IF(AC12="","",C12-AC12)</f>
        <v/>
      </c>
      <c r="AE12" s="8" t="str">
        <f aca="false">IF(E12&gt;=0.2,"Over-usage: open Upsell opp + CSM/Renewals task",IF(E12&lt;=-0.2,"Under-usage: flag CSM"&amp;IF(D12="Auto","; set At risk",""),""))</f>
        <v>Over-usage: open Upsell opp + CSM/Renewals task</v>
      </c>
      <c r="AF12" s="20" t="s">
        <v>73</v>
      </c>
      <c r="AG12" s="22" t="n">
        <f aca="false">IF(I12&lt;=O12,INDEX(Probability!$B$5:$F$19,MATCH(AF12,Probability!$A$5:$A$19,0),MATCH(IF(C12-$E$2&lt;0,"Overdue",IF(C12-$E$2&lt;=30,"0-30",IF(C12-$E$2&lt;=60,"31-60",IF(C12-$E$2&lt;=90,"61-90","&gt;90")))),Probability!$B$4:$F$4,0)),0)</f>
        <v>0.75</v>
      </c>
      <c r="AH12" s="23" t="n">
        <f aca="false">S12*AG12</f>
        <v>26250</v>
      </c>
    </row>
    <row r="13" customFormat="false" ht="48" hidden="false" customHeight="true" outlineLevel="0" collapsed="false">
      <c r="A13" s="15" t="s">
        <v>127</v>
      </c>
      <c r="B13" s="16" t="n">
        <v>46000</v>
      </c>
      <c r="C13" s="17" t="n">
        <v>46365</v>
      </c>
      <c r="D13" s="18" t="s">
        <v>71</v>
      </c>
      <c r="E13" s="19" t="n">
        <v>0</v>
      </c>
      <c r="F13" s="18" t="s">
        <v>72</v>
      </c>
      <c r="G13" s="18" t="s">
        <v>83</v>
      </c>
      <c r="H13" s="20" t="s">
        <v>128</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INDEX(Probability!$B$5:$F$19,MATCH(G13,Probability!$A$5:$A$19,0),MATCH(K13,Probability!$B$4:$F$4,0))</f>
        <v>0.35</v>
      </c>
      <c r="Q13" s="15" t="str">
        <f aca="false">IF(I13&lt;=O13,"Yes","No")</f>
        <v>Yes</v>
      </c>
      <c r="R13" s="22" t="n">
        <f aca="false">IF(Q13="Yes",P13,0)</f>
        <v>0.35</v>
      </c>
      <c r="S13" s="23" t="n">
        <f aca="false">SUMIFS(Products!$K:$K,Products!$A:$A,A13)</f>
        <v>46000</v>
      </c>
      <c r="T13" s="23" t="n">
        <f aca="false">S13*R13</f>
        <v>16100</v>
      </c>
      <c r="U13" s="15" t="str">
        <f aca="false">IF(G13="Cancelled","Lost",IF(Q13="No","Slips quarter",IF(OR(J13&lt;0,AND(J13&lt;=30,OR(G13="--None--",G13="Not started",G13="Engaging customer",G13="Negotiation",G13="Billing blocker",G13="At risk: before notice deadline",G13="Notice received"))),"Late","On time")))</f>
        <v>On time</v>
      </c>
      <c r="V13" s="20" t="s">
        <v>129</v>
      </c>
      <c r="W13" s="18" t="s">
        <v>76</v>
      </c>
      <c r="X13" s="17" t="n">
        <v>46322</v>
      </c>
      <c r="Y13" s="18" t="n">
        <v>7</v>
      </c>
      <c r="Z13" s="20" t="s">
        <v>130</v>
      </c>
      <c r="AA13" s="20" t="s">
        <v>131</v>
      </c>
      <c r="AB13" s="20"/>
      <c r="AC13" s="18"/>
      <c r="AD13" s="21" t="str">
        <f aca="false">IF(AC13="","",C13-AC13)</f>
        <v/>
      </c>
      <c r="AE13" s="8" t="str">
        <f aca="false">IF(E13&gt;=0.2,"Over-usage: open Upsell opp + CSM/Renewals task",IF(E13&lt;=-0.2,"Under-usage: flag CSM"&amp;IF(D13="Auto","; set At risk",""),""))</f>
        <v/>
      </c>
      <c r="AF13" s="20" t="s">
        <v>73</v>
      </c>
      <c r="AG13" s="22" t="n">
        <f aca="false">IF(I13&lt;=O13,INDEX(Probability!$B$5:$F$19,MATCH(AF13,Probability!$A$5:$A$19,0),MATCH(IF(C13-$E$2&lt;0,"Overdue",IF(C13-$E$2&lt;=30,"0-30",IF(C13-$E$2&lt;=60,"31-60",IF(C13-$E$2&lt;=90,"61-90","&gt;90")))),Probability!$B$4:$F$4,0)),0)</f>
        <v>0.7</v>
      </c>
      <c r="AH13" s="23" t="n">
        <f aca="false">S13*AG13</f>
        <v>32200</v>
      </c>
    </row>
    <row r="14" customFormat="false" ht="48" hidden="false" customHeight="true" outlineLevel="0" collapsed="false">
      <c r="A14" s="15" t="s">
        <v>132</v>
      </c>
      <c r="B14" s="16" t="n">
        <v>40000</v>
      </c>
      <c r="C14" s="17" t="n">
        <v>46375</v>
      </c>
      <c r="D14" s="18" t="s">
        <v>90</v>
      </c>
      <c r="E14" s="19" t="n">
        <v>-0.2</v>
      </c>
      <c r="F14" s="18" t="s">
        <v>72</v>
      </c>
      <c r="G14" s="18" t="s">
        <v>133</v>
      </c>
      <c r="H14" s="20" t="s">
        <v>134</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INDEX(Probability!$B$5:$F$19,MATCH(G14,Probability!$A$5:$A$19,0),MATCH(K14,Probability!$B$4:$F$4,0))</f>
        <v>0.4</v>
      </c>
      <c r="Q14" s="15" t="str">
        <f aca="false">IF(I14&lt;=O14,"Yes","No")</f>
        <v>Yes</v>
      </c>
      <c r="R14" s="22" t="n">
        <f aca="false">IF(Q14="Yes",P14,0)</f>
        <v>0.4</v>
      </c>
      <c r="S14" s="23" t="n">
        <f aca="false">SUMIFS(Products!$K:$K,Products!$A:$A,A14)</f>
        <v>32000</v>
      </c>
      <c r="T14" s="23" t="n">
        <f aca="false">S14*R14</f>
        <v>12800</v>
      </c>
      <c r="U14" s="15" t="str">
        <f aca="false">IF(G14="Cancelled","Lost",IF(Q14="No","Slips quarter",IF(OR(J14&lt;0,AND(J14&lt;=30,OR(G14="--None--",G14="Not started",G14="Engaging customer",G14="Negotiation",G14="Billing blocker",G14="At risk: before notice deadline",G14="Notice received"))),"Late","On time")))</f>
        <v>On time</v>
      </c>
      <c r="V14" s="20" t="s">
        <v>135</v>
      </c>
      <c r="W14" s="18" t="s">
        <v>87</v>
      </c>
      <c r="X14" s="17" t="n">
        <v>46325</v>
      </c>
      <c r="Y14" s="18" t="n">
        <v>10</v>
      </c>
      <c r="Z14" s="20" t="s">
        <v>136</v>
      </c>
      <c r="AA14" s="20" t="s">
        <v>76</v>
      </c>
      <c r="AB14" s="20"/>
      <c r="AC14" s="18" t="n">
        <v>30</v>
      </c>
      <c r="AD14" s="21" t="n">
        <f aca="false">IF(AC14="","",C14-AC14)</f>
        <v>46345</v>
      </c>
      <c r="AE14" s="8" t="str">
        <f aca="false">IF(E14&gt;=0.2,"Over-usage: open Upsell opp + CSM/Renewals task",IF(E14&lt;=-0.2,"Under-usage: flag CSM"&amp;IF(D14="Auto","; set At risk",""),""))</f>
        <v>Under-usage: flag CSM; set At risk</v>
      </c>
      <c r="AF14" s="20" t="s">
        <v>133</v>
      </c>
      <c r="AG14" s="22" t="n">
        <f aca="false">IF(I14&lt;=O14,INDEX(Probability!$B$5:$F$19,MATCH(AF14,Probability!$A$5:$A$19,0),MATCH(IF(C14-$E$2&lt;0,"Overdue",IF(C14-$E$2&lt;=30,"0-30",IF(C14-$E$2&lt;=60,"31-60",IF(C14-$E$2&lt;=90,"61-90","&gt;90")))),Probability!$B$4:$F$4,0)),0)</f>
        <v>0.4</v>
      </c>
      <c r="AH14" s="23" t="n">
        <f aca="false">S14*AG14</f>
        <v>12800</v>
      </c>
    </row>
    <row r="15" customFormat="false" ht="15" hidden="false" customHeight="false" outlineLevel="0" collapsed="false">
      <c r="A15" s="2" t="s">
        <v>137</v>
      </c>
      <c r="B15" s="24" t="n">
        <f aca="false">SUM(B5:B14)</f>
        <v>375000</v>
      </c>
      <c r="S15" s="24" t="n">
        <f aca="false">SUM(S5:S14)</f>
        <v>348400</v>
      </c>
      <c r="T15" s="24" t="n">
        <f aca="false">SUM(T5:T14)</f>
        <v>132800</v>
      </c>
      <c r="AH15" s="24" t="n">
        <f aca="false">SUM(AH5:AH14)</f>
        <v>245130</v>
      </c>
    </row>
    <row r="18" customFormat="false" ht="15" hidden="false" customHeight="false" outlineLevel="0" collapsed="false">
      <c r="A18" s="25" t="s">
        <v>138</v>
      </c>
    </row>
    <row r="19" customFormat="false" ht="15" hidden="false" customHeight="false" outlineLevel="0" collapsed="false">
      <c r="A19" s="26" t="s">
        <v>139</v>
      </c>
      <c r="B19" s="26" t="s">
        <v>62</v>
      </c>
      <c r="C19" s="26" t="s">
        <v>140</v>
      </c>
      <c r="D19" s="26" t="s">
        <v>141</v>
      </c>
    </row>
    <row r="20" customFormat="false" ht="15" hidden="false" customHeight="false" outlineLevel="0" collapsed="false">
      <c r="A20" s="15" t="s">
        <v>142</v>
      </c>
      <c r="B20" s="23" t="n">
        <f aca="false">SUMIFS(T5:T14,U5:U14,"On time")</f>
        <v>71700</v>
      </c>
      <c r="C20" s="23" t="n">
        <f aca="false">SUMIFS(S5:S14,U5:U14,"On time")</f>
        <v>173400</v>
      </c>
      <c r="D20" s="15" t="str">
        <f aca="false">COUNTIFS(U5:U14,"On time")&amp;" renewals"</f>
        <v>5 renewals</v>
      </c>
    </row>
    <row r="21" customFormat="false" ht="15" hidden="false" customHeight="false" outlineLevel="0" collapsed="false">
      <c r="A21" s="15" t="s">
        <v>143</v>
      </c>
      <c r="B21" s="23" t="n">
        <f aca="false">SUMIFS(T5:T14,U5:U14,"Late")</f>
        <v>61100</v>
      </c>
      <c r="C21" s="23" t="n">
        <f aca="false">SUMIFS(S5:S14,U5:U14,"Late")</f>
        <v>175000</v>
      </c>
      <c r="D21" s="15" t="str">
        <f aca="false">COUNTIFS(U5:U14,"Late")&amp;" renewals"</f>
        <v>5 renewals</v>
      </c>
    </row>
    <row r="22" customFormat="false" ht="15" hidden="false" customHeight="false" outlineLevel="0" collapsed="false">
      <c r="A22" s="15" t="s">
        <v>144</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145</v>
      </c>
      <c r="B23" s="27" t="n">
        <f aca="false">SUM(B20:B22)</f>
        <v>132800</v>
      </c>
      <c r="C23" s="23" t="n">
        <f aca="false">SUM(C20:C22)</f>
        <v>348400</v>
      </c>
      <c r="D23" s="28"/>
    </row>
    <row r="24" customFormat="false" ht="15" hidden="false" customHeight="false" outlineLevel="0" collapsed="false">
      <c r="A24" s="2" t="s">
        <v>146</v>
      </c>
    </row>
    <row r="25" customFormat="false" ht="15" hidden="false" customHeight="false" outlineLevel="0" collapsed="false">
      <c r="A25" s="15" t="s">
        <v>147</v>
      </c>
      <c r="B25" s="29" t="n">
        <f aca="false">'Opp summary'!E15</f>
        <v>-23000</v>
      </c>
    </row>
    <row r="26" customFormat="false" ht="15" hidden="false" customHeight="false" outlineLevel="0" collapsed="false">
      <c r="A26" s="15" t="s">
        <v>148</v>
      </c>
      <c r="B26" s="29" t="n">
        <f aca="false">'Opp summary'!F15</f>
        <v>0</v>
      </c>
    </row>
    <row r="27" customFormat="false" ht="15" hidden="false" customHeight="false" outlineLevel="0" collapsed="false">
      <c r="A27" s="15" t="s">
        <v>149</v>
      </c>
      <c r="B27" s="29" t="n">
        <f aca="false">'Opp summary'!H15</f>
        <v>-3600</v>
      </c>
    </row>
    <row r="28" customFormat="false" ht="15" hidden="false" customHeight="false" outlineLevel="0" collapsed="false">
      <c r="A28" s="15" t="s">
        <v>150</v>
      </c>
      <c r="B28" s="30" t="n">
        <f aca="false">(B15+B25+B27)/B15</f>
        <v>0.929066666666667</v>
      </c>
    </row>
    <row r="29" customFormat="false" ht="15" hidden="false" customHeight="false" outlineLevel="0" collapsed="false">
      <c r="A29" s="15" t="s">
        <v>151</v>
      </c>
      <c r="B29" s="30" t="n">
        <f aca="false">S15/B15</f>
        <v>0.929066666666667</v>
      </c>
    </row>
    <row r="31" customFormat="false" ht="15" hidden="false" customHeight="false" outlineLevel="0" collapsed="false">
      <c r="A31" s="25" t="s">
        <v>13</v>
      </c>
    </row>
    <row r="32" customFormat="false" ht="15" hidden="false" customHeight="false" outlineLevel="0" collapsed="false">
      <c r="A32" s="15" t="s">
        <v>152</v>
      </c>
      <c r="B32" s="27" t="n">
        <f aca="false">T15</f>
        <v>132800</v>
      </c>
    </row>
    <row r="33" customFormat="false" ht="15" hidden="false" customHeight="false" outlineLevel="0" collapsed="false">
      <c r="A33" s="15" t="s">
        <v>153</v>
      </c>
      <c r="B33" s="27" t="n">
        <f aca="false">AH15</f>
        <v>245130</v>
      </c>
    </row>
    <row r="34" customFormat="false" ht="15" hidden="false" customHeight="false" outlineLevel="0" collapsed="false">
      <c r="A34" s="15" t="s">
        <v>154</v>
      </c>
      <c r="B34" s="27" t="n">
        <f aca="false">B33-B32</f>
        <v>112330</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conditionalFormatting sqref="G5:G14">
    <cfRule type="expression" priority="13" aboveAverage="0" equalAverage="0" bottom="0" percent="0" rank="0" text="" dxfId="1">
      <formula>AND(G5&lt;&gt;"",INDEX(Probability!$H$5:$H$19,MATCH(G5,Probability!$A$5:$A$19,0))&lt;&gt;"Both",INDEX(Probability!$H$5:$H$19,MATCH(G5,Probability!$A$5:$A$19,0))&lt;&gt;$D5)</formula>
    </cfRule>
  </conditionalFormatting>
  <conditionalFormatting sqref="AF5:AF14">
    <cfRule type="expression" priority="14" aboveAverage="0" equalAverage="0" bottom="0" percent="0" rank="0" text="" dxfId="1">
      <formula>AND(AF5&lt;&gt;"",INDEX(Probability!$H$5:$H$19,MATCH(AF5,Probability!$A$5:$A$19,0))&lt;&gt;"Both",INDEX(Probability!$H$5:$H$19,MATCH(AF5,Probability!$A$5:$A$19,0))&lt;&gt;$D5)</formula>
    </cfRule>
  </conditionalFormatting>
  <conditionalFormatting sqref="AE5:AE14">
    <cfRule type="expression" priority="15" aboveAverage="0" equalAverage="0" bottom="0" percent="0" rank="0" text="" dxfId="2">
      <formula>LEFT(AE5,5)="Under"</formula>
    </cfRule>
    <cfRule type="expression" priority="16" aboveAverage="0" equalAverage="0" bottom="0" percent="0" rank="0" text="" dxfId="3">
      <formula>LEFT(AE5,4)="Over"</formula>
    </cfRule>
  </conditionalFormatting>
  <conditionalFormatting sqref="AD5:AD14">
    <cfRule type="expression" priority="17" aboveAverage="0" equalAverage="0" bottom="0" percent="0" rank="0" text="" dxfId="1">
      <formula>AND(AD5&lt;&gt;"",AD5&lt;$B$2)</formula>
    </cfRule>
  </conditionalFormatting>
  <dataValidations count="5">
    <dataValidation allowBlank="false" errorStyle="stop" operator="between" showDropDown="false" showErrorMessage="false" showInputMessage="false" sqref="G5:G14" type="list">
      <formula1>Probability!$A$5:$A$19</formula1>
      <formula2>0</formula2>
    </dataValidation>
    <dataValidation allowBlank="false" errorStyle="stop" operator="between" showDropDown="false" showErrorMessage="false" showInputMessage="false" sqref="AF5:AF14" type="list">
      <formula1>Probability!$A$5:$A$19</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7" min="6" style="0" width="13"/>
    <col collapsed="false" customWidth="true" hidden="false" outlineLevel="0" max="9" min="8" style="0" width="10"/>
    <col collapsed="false" customWidth="true" hidden="false" outlineLevel="0" max="10" min="10" style="0" width="14"/>
    <col collapsed="false" customWidth="true" hidden="false" outlineLevel="0" max="12" min="11" style="0" width="13"/>
    <col collapsed="false" customWidth="true" hidden="false" outlineLevel="0" max="13" min="13" style="0" width="8"/>
    <col collapsed="false" customWidth="true" hidden="false" outlineLevel="0" max="14" min="14" style="0" width="22"/>
    <col collapsed="false" customWidth="true" hidden="false" outlineLevel="0" max="15" min="15" style="0" width="12"/>
    <col collapsed="false" customWidth="true" hidden="false" outlineLevel="0" max="16" min="16" style="0" width="44"/>
  </cols>
  <sheetData>
    <row r="1" customFormat="false" ht="16.15" hidden="false" customHeight="false" outlineLevel="0" collapsed="false">
      <c r="A1" s="4" t="s">
        <v>155</v>
      </c>
    </row>
    <row r="2" customFormat="false" ht="57.75" hidden="false" customHeight="true" outlineLevel="0" collapsed="false">
      <c r="A2" s="31" t="s">
        <v>156</v>
      </c>
      <c r="B2" s="31"/>
      <c r="C2" s="31"/>
      <c r="D2" s="31"/>
      <c r="E2" s="31"/>
      <c r="F2" s="31"/>
      <c r="G2" s="31"/>
      <c r="H2" s="31"/>
      <c r="I2" s="31"/>
      <c r="J2" s="31"/>
      <c r="K2" s="31"/>
      <c r="L2" s="31"/>
      <c r="M2" s="31"/>
      <c r="N2" s="31"/>
    </row>
    <row r="4" customFormat="false" ht="31.5" hidden="false" customHeight="true" outlineLevel="0" collapsed="false">
      <c r="A4" s="6" t="s">
        <v>157</v>
      </c>
      <c r="B4" s="6" t="s">
        <v>158</v>
      </c>
      <c r="C4" s="6" t="s">
        <v>159</v>
      </c>
      <c r="D4" s="6" t="s">
        <v>160</v>
      </c>
      <c r="E4" s="6" t="s">
        <v>161</v>
      </c>
      <c r="F4" s="6" t="s">
        <v>162</v>
      </c>
      <c r="G4" s="6" t="s">
        <v>163</v>
      </c>
      <c r="H4" s="6" t="s">
        <v>164</v>
      </c>
      <c r="I4" s="6" t="s">
        <v>165</v>
      </c>
      <c r="J4" s="6" t="s">
        <v>166</v>
      </c>
      <c r="K4" s="6" t="s">
        <v>61</v>
      </c>
      <c r="L4" s="6" t="s">
        <v>167</v>
      </c>
      <c r="M4" s="6" t="s">
        <v>168</v>
      </c>
      <c r="N4" s="6" t="s">
        <v>169</v>
      </c>
      <c r="O4" s="6" t="s">
        <v>170</v>
      </c>
      <c r="P4" s="6" t="s">
        <v>171</v>
      </c>
    </row>
    <row r="5" customFormat="false" ht="15" hidden="false" customHeight="false" outlineLevel="0" collapsed="false">
      <c r="A5" s="15" t="s">
        <v>70</v>
      </c>
      <c r="B5" s="15" t="s">
        <v>172</v>
      </c>
      <c r="C5" s="18" t="s">
        <v>173</v>
      </c>
      <c r="D5" s="18" t="n">
        <v>1</v>
      </c>
      <c r="E5" s="18" t="s">
        <v>174</v>
      </c>
      <c r="F5" s="23" t="n">
        <v>21000</v>
      </c>
      <c r="G5" s="16" t="n">
        <v>0</v>
      </c>
      <c r="H5" s="22" t="n">
        <v>0</v>
      </c>
      <c r="I5" s="19" t="n">
        <v>0</v>
      </c>
      <c r="J5" s="23" t="n">
        <f aca="false">IF(C5="Churn",0,F5*(1+H5)+G5)</f>
        <v>21000</v>
      </c>
      <c r="K5" s="23" t="n">
        <f aca="false">J5*(1-I5)</f>
        <v>21000</v>
      </c>
      <c r="L5" s="23" t="n">
        <f aca="false">K5-F5</f>
        <v>0</v>
      </c>
      <c r="M5" s="22" t="n">
        <f aca="false">IF(F5=0,"new",L5/F5)</f>
        <v>0</v>
      </c>
      <c r="N5" s="15" t="str">
        <f aca="false">IF(I5=0,"None",IF(AND(D5&gt;=2,I5&lt;=0.05),"None (multi-year)",IF(I5&lt;=0.12,"Finance","VP Customer Success")))</f>
        <v>None</v>
      </c>
      <c r="O5" s="15" t="str">
        <f aca="false">IF(D5&lt;2,"n/a",IF(E5="Upfront","Locked (0%)","5% a year"))</f>
        <v>n/a</v>
      </c>
      <c r="P5" s="15" t="s">
        <v>175</v>
      </c>
    </row>
    <row r="6" customFormat="false" ht="15" hidden="false" customHeight="false" outlineLevel="0" collapsed="false">
      <c r="A6" s="15" t="s">
        <v>81</v>
      </c>
      <c r="B6" s="15" t="s">
        <v>176</v>
      </c>
      <c r="C6" s="18" t="s">
        <v>173</v>
      </c>
      <c r="D6" s="18" t="n">
        <v>1</v>
      </c>
      <c r="E6" s="18" t="s">
        <v>174</v>
      </c>
      <c r="F6" s="23" t="n">
        <v>48000</v>
      </c>
      <c r="G6" s="16" t="n">
        <v>0</v>
      </c>
      <c r="H6" s="22" t="n">
        <v>0</v>
      </c>
      <c r="I6" s="19" t="n">
        <v>0</v>
      </c>
      <c r="J6" s="23" t="n">
        <f aca="false">IF(C6="Churn",0,F6*(1+H6)+G6)</f>
        <v>48000</v>
      </c>
      <c r="K6" s="23" t="n">
        <f aca="false">J6*(1-I6)</f>
        <v>48000</v>
      </c>
      <c r="L6" s="23" t="n">
        <f aca="false">K6-F6</f>
        <v>0</v>
      </c>
      <c r="M6" s="22" t="n">
        <f aca="false">IF(F6=0,"new",L6/F6)</f>
        <v>0</v>
      </c>
      <c r="N6" s="15" t="str">
        <f aca="false">IF(I6=0,"None",IF(AND(D6&gt;=2,I6&lt;=0.05),"None (multi-year)",IF(I6&lt;=0.12,"Finance","VP Customer Success")))</f>
        <v>None</v>
      </c>
      <c r="O6" s="15" t="str">
        <f aca="false">IF(D6&lt;2,"n/a",IF(E6="Upfront","Locked (0%)","5% a year"))</f>
        <v>n/a</v>
      </c>
      <c r="P6" s="15" t="s">
        <v>177</v>
      </c>
    </row>
    <row r="7" customFormat="false" ht="15" hidden="false" customHeight="false" outlineLevel="0" collapsed="false">
      <c r="A7" s="15" t="s">
        <v>89</v>
      </c>
      <c r="B7" s="15" t="s">
        <v>172</v>
      </c>
      <c r="C7" s="18" t="s">
        <v>173</v>
      </c>
      <c r="D7" s="18" t="n">
        <v>1</v>
      </c>
      <c r="E7" s="18" t="s">
        <v>174</v>
      </c>
      <c r="F7" s="23" t="n">
        <v>26000</v>
      </c>
      <c r="G7" s="16" t="n">
        <v>0</v>
      </c>
      <c r="H7" s="22" t="n">
        <v>0</v>
      </c>
      <c r="I7" s="19" t="n">
        <v>0</v>
      </c>
      <c r="J7" s="23" t="n">
        <f aca="false">IF(C7="Churn",0,F7*(1+H7)+G7)</f>
        <v>26000</v>
      </c>
      <c r="K7" s="23" t="n">
        <f aca="false">J7*(1-I7)</f>
        <v>26000</v>
      </c>
      <c r="L7" s="23" t="n">
        <f aca="false">K7-F7</f>
        <v>0</v>
      </c>
      <c r="M7" s="22" t="n">
        <f aca="false">IF(F7=0,"new",L7/F7)</f>
        <v>0</v>
      </c>
      <c r="N7" s="15" t="str">
        <f aca="false">IF(I7=0,"None",IF(AND(D7&gt;=2,I7&lt;=0.05),"None (multi-year)",IF(I7&lt;=0.12,"Finance","VP Customer Success")))</f>
        <v>None</v>
      </c>
      <c r="O7" s="15" t="str">
        <f aca="false">IF(D7&lt;2,"n/a",IF(E7="Upfront","Locked (0%)","5% a year"))</f>
        <v>n/a</v>
      </c>
      <c r="P7" s="15" t="s">
        <v>178</v>
      </c>
    </row>
    <row r="8" customFormat="false" ht="15" hidden="false" customHeight="false" outlineLevel="0" collapsed="false">
      <c r="A8" s="15" t="s">
        <v>97</v>
      </c>
      <c r="B8" s="15" t="s">
        <v>179</v>
      </c>
      <c r="C8" s="18" t="s">
        <v>180</v>
      </c>
      <c r="D8" s="18" t="n">
        <v>1</v>
      </c>
      <c r="E8" s="18" t="s">
        <v>174</v>
      </c>
      <c r="F8" s="23" t="n">
        <v>45000</v>
      </c>
      <c r="G8" s="16" t="n">
        <v>-15000</v>
      </c>
      <c r="H8" s="22" t="n">
        <v>0</v>
      </c>
      <c r="I8" s="19" t="n">
        <v>0</v>
      </c>
      <c r="J8" s="23" t="n">
        <f aca="false">IF(C8="Churn",0,F8*(1+H8)+G8)</f>
        <v>30000</v>
      </c>
      <c r="K8" s="23" t="n">
        <f aca="false">J8*(1-I8)</f>
        <v>30000</v>
      </c>
      <c r="L8" s="23" t="n">
        <f aca="false">K8-F8</f>
        <v>-15000</v>
      </c>
      <c r="M8" s="22" t="n">
        <f aca="false">IF(F8=0,"new",L8/F8)</f>
        <v>-0.333333333333333</v>
      </c>
      <c r="N8" s="15" t="str">
        <f aca="false">IF(I8=0,"None",IF(AND(D8&gt;=2,I8&lt;=0.05),"None (multi-year)",IF(I8&lt;=0.12,"Finance","VP Customer Success")))</f>
        <v>None</v>
      </c>
      <c r="O8" s="15" t="str">
        <f aca="false">IF(D8&lt;2,"n/a",IF(E8="Upfront","Locked (0%)","5% a year"))</f>
        <v>n/a</v>
      </c>
      <c r="P8" s="15" t="s">
        <v>181</v>
      </c>
    </row>
    <row r="9" customFormat="false" ht="15" hidden="false" customHeight="false" outlineLevel="0" collapsed="false">
      <c r="A9" s="15" t="s">
        <v>105</v>
      </c>
      <c r="B9" s="15" t="s">
        <v>182</v>
      </c>
      <c r="C9" s="18" t="s">
        <v>173</v>
      </c>
      <c r="D9" s="18" t="n">
        <v>2</v>
      </c>
      <c r="E9" s="18" t="s">
        <v>174</v>
      </c>
      <c r="F9" s="23" t="n">
        <v>36000</v>
      </c>
      <c r="G9" s="16" t="n">
        <v>0</v>
      </c>
      <c r="H9" s="22" t="n">
        <v>0</v>
      </c>
      <c r="I9" s="19" t="n">
        <v>0.1</v>
      </c>
      <c r="J9" s="23" t="n">
        <f aca="false">IF(C9="Churn",0,F9*(1+H9)+G9)</f>
        <v>36000</v>
      </c>
      <c r="K9" s="23" t="n">
        <f aca="false">J9*(1-I9)</f>
        <v>32400</v>
      </c>
      <c r="L9" s="23" t="n">
        <f aca="false">K9-F9</f>
        <v>-3600</v>
      </c>
      <c r="M9" s="22" t="n">
        <f aca="false">IF(F9=0,"new",L9/F9)</f>
        <v>-0.1</v>
      </c>
      <c r="N9" s="15" t="str">
        <f aca="false">IF(I9=0,"None",IF(AND(D9&gt;=2,I9&lt;=0.05),"None (multi-year)",IF(I9&lt;=0.12,"Finance","VP Customer Success")))</f>
        <v>Finance</v>
      </c>
      <c r="O9" s="15" t="str">
        <f aca="false">IF(D9&lt;2,"n/a",IF(E9="Upfront","Locked (0%)","5% a year"))</f>
        <v>5% a year</v>
      </c>
      <c r="P9" s="15" t="s">
        <v>183</v>
      </c>
    </row>
    <row r="10" customFormat="false" ht="15" hidden="false" customHeight="false" outlineLevel="0" collapsed="false">
      <c r="A10" s="15" t="s">
        <v>111</v>
      </c>
      <c r="B10" s="15" t="s">
        <v>179</v>
      </c>
      <c r="C10" s="18" t="s">
        <v>173</v>
      </c>
      <c r="D10" s="18" t="n">
        <v>1</v>
      </c>
      <c r="E10" s="18" t="s">
        <v>174</v>
      </c>
      <c r="F10" s="23" t="n">
        <v>50000</v>
      </c>
      <c r="G10" s="16" t="n">
        <v>0</v>
      </c>
      <c r="H10" s="22" t="n">
        <v>0</v>
      </c>
      <c r="I10" s="19" t="n">
        <v>0</v>
      </c>
      <c r="J10" s="23" t="n">
        <f aca="false">IF(C10="Churn",0,F10*(1+H10)+G10)</f>
        <v>50000</v>
      </c>
      <c r="K10" s="23" t="n">
        <f aca="false">J10*(1-I10)</f>
        <v>50000</v>
      </c>
      <c r="L10" s="23" t="n">
        <f aca="false">K10-F10</f>
        <v>0</v>
      </c>
      <c r="M10" s="22" t="n">
        <f aca="false">IF(F10=0,"new",L10/F10)</f>
        <v>0</v>
      </c>
      <c r="N10" s="15" t="str">
        <f aca="false">IF(I10=0,"None",IF(AND(D10&gt;=2,I10&lt;=0.05),"None (multi-year)",IF(I10&lt;=0.12,"Finance","VP Customer Success")))</f>
        <v>None</v>
      </c>
      <c r="O10" s="15" t="str">
        <f aca="false">IF(D10&lt;2,"n/a",IF(E10="Upfront","Locked (0%)","5% a year"))</f>
        <v>n/a</v>
      </c>
      <c r="P10" s="15"/>
    </row>
    <row r="11" customFormat="false" ht="15" hidden="false" customHeight="false" outlineLevel="0" collapsed="false">
      <c r="A11" s="15" t="s">
        <v>118</v>
      </c>
      <c r="B11" s="15" t="s">
        <v>172</v>
      </c>
      <c r="C11" s="18" t="s">
        <v>173</v>
      </c>
      <c r="D11" s="18" t="n">
        <v>1</v>
      </c>
      <c r="E11" s="18" t="s">
        <v>174</v>
      </c>
      <c r="F11" s="23" t="n">
        <v>28000</v>
      </c>
      <c r="G11" s="16" t="n">
        <v>0</v>
      </c>
      <c r="H11" s="22" t="n">
        <v>0</v>
      </c>
      <c r="I11" s="19" t="n">
        <v>0</v>
      </c>
      <c r="J11" s="23" t="n">
        <f aca="false">IF(C11="Churn",0,F11*(1+H11)+G11)</f>
        <v>28000</v>
      </c>
      <c r="K11" s="23" t="n">
        <f aca="false">J11*(1-I11)</f>
        <v>28000</v>
      </c>
      <c r="L11" s="23" t="n">
        <f aca="false">K11-F11</f>
        <v>0</v>
      </c>
      <c r="M11" s="22" t="n">
        <f aca="false">IF(F11=0,"new",L11/F11)</f>
        <v>0</v>
      </c>
      <c r="N11" s="15" t="str">
        <f aca="false">IF(I11=0,"None",IF(AND(D11&gt;=2,I11&lt;=0.05),"None (multi-year)",IF(I11&lt;=0.12,"Finance","VP Customer Success")))</f>
        <v>None</v>
      </c>
      <c r="O11" s="15" t="str">
        <f aca="false">IF(D11&lt;2,"n/a",IF(E11="Upfront","Locked (0%)","5% a year"))</f>
        <v>n/a</v>
      </c>
      <c r="P11" s="15" t="s">
        <v>184</v>
      </c>
    </row>
    <row r="12" customFormat="false" ht="15" hidden="false" customHeight="false" outlineLevel="0" collapsed="false">
      <c r="A12" s="15" t="s">
        <v>123</v>
      </c>
      <c r="B12" s="15" t="s">
        <v>172</v>
      </c>
      <c r="C12" s="18" t="s">
        <v>173</v>
      </c>
      <c r="D12" s="18" t="n">
        <v>1</v>
      </c>
      <c r="E12" s="18" t="s">
        <v>174</v>
      </c>
      <c r="F12" s="23" t="n">
        <v>35000</v>
      </c>
      <c r="G12" s="16" t="n">
        <v>0</v>
      </c>
      <c r="H12" s="22" t="n">
        <v>0</v>
      </c>
      <c r="I12" s="19" t="n">
        <v>0</v>
      </c>
      <c r="J12" s="23" t="n">
        <f aca="false">IF(C12="Churn",0,F12*(1+H12)+G12)</f>
        <v>35000</v>
      </c>
      <c r="K12" s="23" t="n">
        <f aca="false">J12*(1-I12)</f>
        <v>35000</v>
      </c>
      <c r="L12" s="23" t="n">
        <f aca="false">K12-F12</f>
        <v>0</v>
      </c>
      <c r="M12" s="22" t="n">
        <f aca="false">IF(F12=0,"new",L12/F12)</f>
        <v>0</v>
      </c>
      <c r="N12" s="15" t="str">
        <f aca="false">IF(I12=0,"None",IF(AND(D12&gt;=2,I12&lt;=0.05),"None (multi-year)",IF(I12&lt;=0.12,"Finance","VP Customer Success")))</f>
        <v>None</v>
      </c>
      <c r="O12" s="15" t="str">
        <f aca="false">IF(D12&lt;2,"n/a",IF(E12="Upfront","Locked (0%)","5% a year"))</f>
        <v>n/a</v>
      </c>
      <c r="P12" s="15" t="s">
        <v>185</v>
      </c>
    </row>
    <row r="13" customFormat="false" ht="15" hidden="false" customHeight="false" outlineLevel="0" collapsed="false">
      <c r="A13" s="15" t="s">
        <v>123</v>
      </c>
      <c r="B13" s="15" t="s">
        <v>186</v>
      </c>
      <c r="C13" s="18" t="s">
        <v>187</v>
      </c>
      <c r="D13" s="18" t="n">
        <v>1</v>
      </c>
      <c r="E13" s="18" t="s">
        <v>174</v>
      </c>
      <c r="F13" s="23" t="n">
        <v>0</v>
      </c>
      <c r="G13" s="16" t="n">
        <v>0</v>
      </c>
      <c r="H13" s="22" t="n">
        <v>0</v>
      </c>
      <c r="I13" s="19" t="n">
        <v>0</v>
      </c>
      <c r="J13" s="23" t="n">
        <f aca="false">IF(C13="Churn",0,F13*(1+H13)+G13)</f>
        <v>0</v>
      </c>
      <c r="K13" s="23" t="n">
        <f aca="false">J13*(1-I13)</f>
        <v>0</v>
      </c>
      <c r="L13" s="23" t="n">
        <f aca="false">K13-F13</f>
        <v>0</v>
      </c>
      <c r="M13" s="22" t="str">
        <f aca="false">IF(F13=0,"new",L13/F13)</f>
        <v>new</v>
      </c>
      <c r="N13" s="15" t="str">
        <f aca="false">IF(I13=0,"None",IF(AND(D13&gt;=2,I13&lt;=0.05),"None (multi-year)",IF(I13&lt;=0.12,"Finance","VP Customer Success")))</f>
        <v>None</v>
      </c>
      <c r="O13" s="15" t="str">
        <f aca="false">IF(D13&lt;2,"n/a",IF(E13="Upfront","Locked (0%)","5% a year"))</f>
        <v>n/a</v>
      </c>
      <c r="P13" s="15" t="s">
        <v>188</v>
      </c>
    </row>
    <row r="14" customFormat="false" ht="15" hidden="false" customHeight="false" outlineLevel="0" collapsed="false">
      <c r="A14" s="15" t="s">
        <v>127</v>
      </c>
      <c r="B14" s="15" t="s">
        <v>176</v>
      </c>
      <c r="C14" s="18" t="s">
        <v>173</v>
      </c>
      <c r="D14" s="18" t="n">
        <v>1</v>
      </c>
      <c r="E14" s="18" t="s">
        <v>174</v>
      </c>
      <c r="F14" s="23" t="n">
        <v>46000</v>
      </c>
      <c r="G14" s="16" t="n">
        <v>0</v>
      </c>
      <c r="H14" s="22" t="n">
        <v>0</v>
      </c>
      <c r="I14" s="19" t="n">
        <v>0</v>
      </c>
      <c r="J14" s="23" t="n">
        <f aca="false">IF(C14="Churn",0,F14*(1+H14)+G14)</f>
        <v>46000</v>
      </c>
      <c r="K14" s="23" t="n">
        <f aca="false">J14*(1-I14)</f>
        <v>46000</v>
      </c>
      <c r="L14" s="23" t="n">
        <f aca="false">K14-F14</f>
        <v>0</v>
      </c>
      <c r="M14" s="22" t="n">
        <f aca="false">IF(F14=0,"new",L14/F14)</f>
        <v>0</v>
      </c>
      <c r="N14" s="15" t="str">
        <f aca="false">IF(I14=0,"None",IF(AND(D14&gt;=2,I14&lt;=0.05),"None (multi-year)",IF(I14&lt;=0.12,"Finance","VP Customer Success")))</f>
        <v>None</v>
      </c>
      <c r="O14" s="15" t="str">
        <f aca="false">IF(D14&lt;2,"n/a",IF(E14="Upfront","Locked (0%)","5% a year"))</f>
        <v>n/a</v>
      </c>
      <c r="P14" s="15"/>
    </row>
    <row r="15" customFormat="false" ht="15" hidden="false" customHeight="false" outlineLevel="0" collapsed="false">
      <c r="A15" s="15" t="s">
        <v>132</v>
      </c>
      <c r="B15" s="15" t="s">
        <v>176</v>
      </c>
      <c r="C15" s="18" t="s">
        <v>180</v>
      </c>
      <c r="D15" s="18" t="n">
        <v>1</v>
      </c>
      <c r="E15" s="18" t="s">
        <v>174</v>
      </c>
      <c r="F15" s="23" t="n">
        <v>40000</v>
      </c>
      <c r="G15" s="16" t="n">
        <v>-8000</v>
      </c>
      <c r="H15" s="22" t="n">
        <v>0</v>
      </c>
      <c r="I15" s="19" t="n">
        <v>0</v>
      </c>
      <c r="J15" s="23" t="n">
        <f aca="false">IF(C15="Churn",0,F15*(1+H15)+G15)</f>
        <v>32000</v>
      </c>
      <c r="K15" s="23" t="n">
        <f aca="false">J15*(1-I15)</f>
        <v>32000</v>
      </c>
      <c r="L15" s="23" t="n">
        <f aca="false">K15-F15</f>
        <v>-8000</v>
      </c>
      <c r="M15" s="22" t="n">
        <f aca="false">IF(F15=0,"new",L15/F15)</f>
        <v>-0.2</v>
      </c>
      <c r="N15" s="15" t="str">
        <f aca="false">IF(I15=0,"None",IF(AND(D15&gt;=2,I15&lt;=0.05),"None (multi-year)",IF(I15&lt;=0.12,"Finance","VP Customer Success")))</f>
        <v>None</v>
      </c>
      <c r="O15" s="15" t="str">
        <f aca="false">IF(D15&lt;2,"n/a",IF(E15="Upfront","Locked (0%)","5% a year"))</f>
        <v>n/a</v>
      </c>
      <c r="P15" s="15" t="s">
        <v>189</v>
      </c>
    </row>
    <row r="17" customFormat="false" ht="15" hidden="false" customHeight="false" outlineLevel="0" collapsed="false">
      <c r="A17" s="2" t="s">
        <v>137</v>
      </c>
      <c r="F17" s="24" t="n">
        <f aca="false">SUM(F5:F15)</f>
        <v>375000</v>
      </c>
      <c r="G17" s="24" t="n">
        <f aca="false">SUM(G5:G15)</f>
        <v>-23000</v>
      </c>
      <c r="J17" s="24" t="n">
        <f aca="false">SUM(J5:J15)</f>
        <v>352000</v>
      </c>
      <c r="K17" s="24" t="n">
        <f aca="false">SUM(K5:K15)</f>
        <v>348400</v>
      </c>
      <c r="L17" s="24" t="n">
        <f aca="false">SUM(L5:L15)</f>
        <v>-26600</v>
      </c>
    </row>
    <row r="19" customFormat="false" ht="15" hidden="false" customHeight="false" outlineLevel="0" collapsed="false">
      <c r="A19" s="2" t="s">
        <v>190</v>
      </c>
    </row>
    <row r="20" customFormat="false" ht="33.75" hidden="false" customHeight="true" outlineLevel="0" collapsed="false">
      <c r="A20" s="31" t="s">
        <v>191</v>
      </c>
      <c r="B20" s="31"/>
      <c r="C20" s="31"/>
      <c r="D20" s="31"/>
      <c r="E20" s="31"/>
      <c r="F20" s="31"/>
      <c r="G20" s="31"/>
      <c r="H20" s="31"/>
      <c r="I20" s="31"/>
      <c r="J20" s="31"/>
      <c r="K20" s="31"/>
      <c r="L20" s="31"/>
      <c r="M20" s="31"/>
      <c r="N20" s="31"/>
      <c r="O20" s="31"/>
      <c r="P20" s="31"/>
    </row>
  </sheetData>
  <mergeCells count="2">
    <mergeCell ref="A2:N2"/>
    <mergeCell ref="A20:P20"/>
  </mergeCells>
  <conditionalFormatting sqref="L5:M55">
    <cfRule type="expression" priority="2" aboveAverage="0" equalAverage="0" bottom="0" percent="0" rank="0" text="" dxfId="4">
      <formula>AND(ISNUMBER(L5),L5&gt;0)</formula>
    </cfRule>
    <cfRule type="expression" priority="3" aboveAverage="0" equalAverage="0" bottom="0" percent="0" rank="0" text="" dxfId="0">
      <formula>AND(ISNUMBER(L5),L5&lt;0)</formula>
    </cfRule>
  </conditionalFormatting>
  <conditionalFormatting sqref="N5:N55">
    <cfRule type="expression" priority="4" aboveAverage="0" equalAverage="0" bottom="0" percent="0" rank="0" text="" dxfId="2">
      <formula>LEFT(N5,4)&lt;&gt;"None"</formula>
    </cfRule>
  </conditionalFormatting>
  <dataValidations count="2">
    <dataValidation allowBlank="false" errorStyle="stop" operator="between" showDropDown="false" showErrorMessage="false" showInputMessage="false" sqref="C5:C55" type="list">
      <formula1>"Renewal,Upsell,Downgrade,Churn"</formula1>
      <formula2>0</formula2>
    </dataValidation>
    <dataValidation allowBlank="false" errorStyle="stop" operator="between" showDropDown="false" showErrorMessage="false" showInputMessage="false" sqref="E5:E55" type="list">
      <formula1>"Annual,Upfront"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34"/>
    <col collapsed="false" customWidth="true" hidden="false" outlineLevel="0" max="8" min="8" style="0" width="16"/>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192</v>
      </c>
    </row>
    <row r="3" customFormat="false" ht="31.5" hidden="false" customHeight="true" outlineLevel="0" collapsed="false">
      <c r="A3" s="6" t="s">
        <v>157</v>
      </c>
      <c r="B3" s="6" t="s">
        <v>162</v>
      </c>
      <c r="C3" s="6" t="s">
        <v>193</v>
      </c>
      <c r="D3" s="6" t="s">
        <v>194</v>
      </c>
      <c r="E3" s="6" t="s">
        <v>195</v>
      </c>
      <c r="F3" s="6" t="s">
        <v>196</v>
      </c>
      <c r="G3" s="6" t="s">
        <v>197</v>
      </c>
      <c r="H3" s="6" t="s">
        <v>198</v>
      </c>
      <c r="I3" s="6" t="s">
        <v>61</v>
      </c>
      <c r="J3" s="6" t="s">
        <v>199</v>
      </c>
      <c r="K3" s="6" t="s">
        <v>200</v>
      </c>
    </row>
    <row r="4" customFormat="false" ht="15" hidden="false" customHeight="false" outlineLevel="0" collapsed="false">
      <c r="A4" s="32" t="str">
        <f aca="false">Pipeline!A5</f>
        <v>Vantage Freight</v>
      </c>
      <c r="B4" s="23" t="n">
        <f aca="false">SUMIFS(Products!$F:$F,Products!$A:$A,$A4)</f>
        <v>21000</v>
      </c>
      <c r="C4" s="23" t="n">
        <f aca="false">SUMPRODUCT((Products!$A$5:$A$200=$A4)*Products!$F$5:$F$200*Products!$H$5:$H$200)</f>
        <v>0</v>
      </c>
      <c r="D4" s="23" t="n">
        <f aca="false">SUMIFS(Products!$G:$G,Products!$A:$A,$A4,Products!$C:$C,"Upsell")</f>
        <v>0</v>
      </c>
      <c r="E4" s="23" t="n">
        <f aca="false">SUMIFS(Products!$G:$G,Products!$A:$A,$A4,Products!$C:$C,"Downgrade")-SUMIFS(Products!$F:$F,Products!$A:$A,$A4,Products!$C:$C,"Churn")</f>
        <v>0</v>
      </c>
      <c r="F4" s="18"/>
      <c r="G4" s="18"/>
      <c r="H4" s="23" t="n">
        <f aca="false">MIN(0,C4-(SUMIFS(Products!$J:$J,Products!$A:$A,$A4)-SUMIFS(Products!$K:$K,Products!$A:$A,$A4)))</f>
        <v>0</v>
      </c>
      <c r="I4" s="23" t="n">
        <f aca="false">SUMIFS(Products!$K:$K,Products!$A:$A,$A4)</f>
        <v>21000</v>
      </c>
      <c r="J4" s="23" t="n">
        <f aca="false">I4-B4</f>
        <v>0</v>
      </c>
      <c r="K4" s="22" t="n">
        <f aca="false">IF(B4=0,0,J4/B4)</f>
        <v>0</v>
      </c>
    </row>
    <row r="5" customFormat="false" ht="15" hidden="false" customHeight="false" outlineLevel="0" collapsed="false">
      <c r="A5" s="32" t="str">
        <f aca="false">Pipeline!A6</f>
        <v>Northwind Logistics</v>
      </c>
      <c r="B5" s="23" t="n">
        <f aca="false">SUMIFS(Products!$F:$F,Products!$A:$A,$A5)</f>
        <v>48000</v>
      </c>
      <c r="C5" s="23" t="n">
        <f aca="false">SUMPRODUCT((Products!$A$5:$A$200=$A5)*Products!$F$5:$F$200*Products!$H$5:$H$200)</f>
        <v>0</v>
      </c>
      <c r="D5" s="23" t="n">
        <f aca="false">SUMIFS(Products!$G:$G,Products!$A:$A,$A5,Products!$C:$C,"Upsell")</f>
        <v>0</v>
      </c>
      <c r="E5" s="23" t="n">
        <f aca="false">SUMIFS(Products!$G:$G,Products!$A:$A,$A5,Products!$C:$C,"Downgrade")-SUMIFS(Products!$F:$F,Products!$A:$A,$A5,Products!$C:$C,"Churn")</f>
        <v>0</v>
      </c>
      <c r="F5" s="18"/>
      <c r="G5" s="18"/>
      <c r="H5" s="23" t="n">
        <f aca="false">MIN(0,C5-(SUMIFS(Products!$J:$J,Products!$A:$A,$A5)-SUMIFS(Products!$K:$K,Products!$A:$A,$A5)))</f>
        <v>0</v>
      </c>
      <c r="I5" s="23" t="n">
        <f aca="false">SUMIFS(Products!$K:$K,Products!$A:$A,$A5)</f>
        <v>48000</v>
      </c>
      <c r="J5" s="23" t="n">
        <f aca="false">I5-B5</f>
        <v>0</v>
      </c>
      <c r="K5" s="22" t="n">
        <f aca="false">IF(B5=0,0,J5/B5)</f>
        <v>0</v>
      </c>
    </row>
    <row r="6" customFormat="false" ht="15" hidden="false" customHeight="false" outlineLevel="0" collapsed="false">
      <c r="A6" s="32" t="str">
        <f aca="false">Pipeline!A7</f>
        <v>Pixelforge</v>
      </c>
      <c r="B6" s="23" t="n">
        <f aca="false">SUMIFS(Products!$F:$F,Products!$A:$A,$A6)</f>
        <v>26000</v>
      </c>
      <c r="C6" s="23" t="n">
        <f aca="false">SUMPRODUCT((Products!$A$5:$A$200=$A6)*Products!$F$5:$F$200*Products!$H$5:$H$200)</f>
        <v>0</v>
      </c>
      <c r="D6" s="23" t="n">
        <f aca="false">SUMIFS(Products!$G:$G,Products!$A:$A,$A6,Products!$C:$C,"Upsell")</f>
        <v>0</v>
      </c>
      <c r="E6" s="23" t="n">
        <f aca="false">SUMIFS(Products!$G:$G,Products!$A:$A,$A6,Products!$C:$C,"Downgrade")-SUMIFS(Products!$F:$F,Products!$A:$A,$A6,Products!$C:$C,"Churn")</f>
        <v>0</v>
      </c>
      <c r="F6" s="18"/>
      <c r="G6" s="18"/>
      <c r="H6" s="23" t="n">
        <f aca="false">MIN(0,C6-(SUMIFS(Products!$J:$J,Products!$A:$A,$A6)-SUMIFS(Products!$K:$K,Products!$A:$A,$A6)))</f>
        <v>0</v>
      </c>
      <c r="I6" s="23" t="n">
        <f aca="false">SUMIFS(Products!$K:$K,Products!$A:$A,$A6)</f>
        <v>26000</v>
      </c>
      <c r="J6" s="23" t="n">
        <f aca="false">I6-B6</f>
        <v>0</v>
      </c>
      <c r="K6" s="22" t="n">
        <f aca="false">IF(B6=0,0,J6/B6)</f>
        <v>0</v>
      </c>
    </row>
    <row r="7" customFormat="false" ht="15" hidden="false" customHeight="false" outlineLevel="0" collapsed="false">
      <c r="A7" s="32" t="str">
        <f aca="false">Pipeline!A8</f>
        <v>Halden Health</v>
      </c>
      <c r="B7" s="23" t="n">
        <f aca="false">SUMIFS(Products!$F:$F,Products!$A:$A,$A7)</f>
        <v>45000</v>
      </c>
      <c r="C7" s="23" t="n">
        <f aca="false">SUMPRODUCT((Products!$A$5:$A$200=$A7)*Products!$F$5:$F$200*Products!$H$5:$H$200)</f>
        <v>0</v>
      </c>
      <c r="D7" s="23" t="n">
        <f aca="false">SUMIFS(Products!$G:$G,Products!$A:$A,$A7,Products!$C:$C,"Upsell")</f>
        <v>0</v>
      </c>
      <c r="E7" s="23" t="n">
        <f aca="false">SUMIFS(Products!$G:$G,Products!$A:$A,$A7,Products!$C:$C,"Downgrade")-SUMIFS(Products!$F:$F,Products!$A:$A,$A7,Products!$C:$C,"Churn")</f>
        <v>-15000</v>
      </c>
      <c r="F7" s="18" t="s">
        <v>201</v>
      </c>
      <c r="G7" s="18" t="s">
        <v>202</v>
      </c>
      <c r="H7" s="23" t="n">
        <f aca="false">MIN(0,C7-(SUMIFS(Products!$J:$J,Products!$A:$A,$A7)-SUMIFS(Products!$K:$K,Products!$A:$A,$A7)))</f>
        <v>0</v>
      </c>
      <c r="I7" s="23" t="n">
        <f aca="false">SUMIFS(Products!$K:$K,Products!$A:$A,$A7)</f>
        <v>30000</v>
      </c>
      <c r="J7" s="23" t="n">
        <f aca="false">I7-B7</f>
        <v>-15000</v>
      </c>
      <c r="K7" s="22" t="n">
        <f aca="false">IF(B7=0,0,J7/B7)</f>
        <v>-0.333333333333333</v>
      </c>
    </row>
    <row r="8" customFormat="false" ht="15" hidden="false" customHeight="false" outlineLevel="0" collapsed="false">
      <c r="A8" s="32" t="str">
        <f aca="false">Pipeline!A9</f>
        <v>Brightloop</v>
      </c>
      <c r="B8" s="23" t="n">
        <f aca="false">SUMIFS(Products!$F:$F,Products!$A:$A,$A8)</f>
        <v>36000</v>
      </c>
      <c r="C8" s="23" t="n">
        <f aca="false">SUMPRODUCT((Products!$A$5:$A$200=$A8)*Products!$F$5:$F$200*Products!$H$5:$H$200)</f>
        <v>0</v>
      </c>
      <c r="D8" s="23" t="n">
        <f aca="false">SUMIFS(Products!$G:$G,Products!$A:$A,$A8,Products!$C:$C,"Upsell")</f>
        <v>0</v>
      </c>
      <c r="E8" s="23" t="n">
        <f aca="false">SUMIFS(Products!$G:$G,Products!$A:$A,$A8,Products!$C:$C,"Downgrade")-SUMIFS(Products!$F:$F,Products!$A:$A,$A8,Products!$C:$C,"Churn")</f>
        <v>0</v>
      </c>
      <c r="F8" s="18"/>
      <c r="G8" s="18"/>
      <c r="H8" s="23" t="n">
        <f aca="false">MIN(0,C8-(SUMIFS(Products!$J:$J,Products!$A:$A,$A8)-SUMIFS(Products!$K:$K,Products!$A:$A,$A8)))</f>
        <v>-3600</v>
      </c>
      <c r="I8" s="23" t="n">
        <f aca="false">SUMIFS(Products!$K:$K,Products!$A:$A,$A8)</f>
        <v>32400</v>
      </c>
      <c r="J8" s="23" t="n">
        <f aca="false">I8-B8</f>
        <v>-3600</v>
      </c>
      <c r="K8" s="22" t="n">
        <f aca="false">IF(B8=0,0,J8/B8)</f>
        <v>-0.1</v>
      </c>
    </row>
    <row r="9" customFormat="false" ht="15" hidden="false" customHeight="false" outlineLevel="0" collapsed="false">
      <c r="A9" s="32" t="str">
        <f aca="false">Pipeline!A10</f>
        <v>Tessera Finance</v>
      </c>
      <c r="B9" s="23" t="n">
        <f aca="false">SUMIFS(Products!$F:$F,Products!$A:$A,$A9)</f>
        <v>50000</v>
      </c>
      <c r="C9" s="23" t="n">
        <f aca="false">SUMPRODUCT((Products!$A$5:$A$200=$A9)*Products!$F$5:$F$200*Products!$H$5:$H$200)</f>
        <v>0</v>
      </c>
      <c r="D9" s="23" t="n">
        <f aca="false">SUMIFS(Products!$G:$G,Products!$A:$A,$A9,Products!$C:$C,"Upsell")</f>
        <v>0</v>
      </c>
      <c r="E9" s="23" t="n">
        <f aca="false">SUMIFS(Products!$G:$G,Products!$A:$A,$A9,Products!$C:$C,"Downgrade")-SUMIFS(Products!$F:$F,Products!$A:$A,$A9,Products!$C:$C,"Churn")</f>
        <v>0</v>
      </c>
      <c r="F9" s="18"/>
      <c r="G9" s="18"/>
      <c r="H9" s="23" t="n">
        <f aca="false">MIN(0,C9-(SUMIFS(Products!$J:$J,Products!$A:$A,$A9)-SUMIFS(Products!$K:$K,Products!$A:$A,$A9)))</f>
        <v>0</v>
      </c>
      <c r="I9" s="23" t="n">
        <f aca="false">SUMIFS(Products!$K:$K,Products!$A:$A,$A9)</f>
        <v>50000</v>
      </c>
      <c r="J9" s="23" t="n">
        <f aca="false">I9-B9</f>
        <v>0</v>
      </c>
      <c r="K9" s="22" t="n">
        <f aca="false">IF(B9=0,0,J9/B9)</f>
        <v>0</v>
      </c>
    </row>
    <row r="10" customFormat="false" ht="15" hidden="false" customHeight="false" outlineLevel="0" collapsed="false">
      <c r="A10" s="32" t="str">
        <f aca="false">Pipeline!A11</f>
        <v>Lumen Retail</v>
      </c>
      <c r="B10" s="23" t="n">
        <f aca="false">SUMIFS(Products!$F:$F,Products!$A:$A,$A10)</f>
        <v>28000</v>
      </c>
      <c r="C10" s="23" t="n">
        <f aca="false">SUMPRODUCT((Products!$A$5:$A$200=$A10)*Products!$F$5:$F$200*Products!$H$5:$H$200)</f>
        <v>0</v>
      </c>
      <c r="D10" s="23" t="n">
        <f aca="false">SUMIFS(Products!$G:$G,Products!$A:$A,$A10,Products!$C:$C,"Upsell")</f>
        <v>0</v>
      </c>
      <c r="E10" s="23" t="n">
        <f aca="false">SUMIFS(Products!$G:$G,Products!$A:$A,$A10,Products!$C:$C,"Downgrade")-SUMIFS(Products!$F:$F,Products!$A:$A,$A10,Products!$C:$C,"Churn")</f>
        <v>0</v>
      </c>
      <c r="F10" s="18"/>
      <c r="G10" s="18"/>
      <c r="H10" s="23" t="n">
        <f aca="false">MIN(0,C10-(SUMIFS(Products!$J:$J,Products!$A:$A,$A10)-SUMIFS(Products!$K:$K,Products!$A:$A,$A10)))</f>
        <v>0</v>
      </c>
      <c r="I10" s="23" t="n">
        <f aca="false">SUMIFS(Products!$K:$K,Products!$A:$A,$A10)</f>
        <v>28000</v>
      </c>
      <c r="J10" s="23" t="n">
        <f aca="false">I10-B10</f>
        <v>0</v>
      </c>
      <c r="K10" s="22" t="n">
        <f aca="false">IF(B10=0,0,J10/B10)</f>
        <v>0</v>
      </c>
    </row>
    <row r="11" customFormat="false" ht="15" hidden="false" customHeight="false" outlineLevel="0" collapsed="false">
      <c r="A11" s="32" t="str">
        <f aca="false">Pipeline!A12</f>
        <v>Kestrel Analytics</v>
      </c>
      <c r="B11" s="23" t="n">
        <f aca="false">SUMIFS(Products!$F:$F,Products!$A:$A,$A11)</f>
        <v>35000</v>
      </c>
      <c r="C11" s="23" t="n">
        <f aca="false">SUMPRODUCT((Products!$A$5:$A$200=$A11)*Products!$F$5:$F$200*Products!$H$5:$H$200)</f>
        <v>0</v>
      </c>
      <c r="D11" s="23" t="n">
        <f aca="false">SUMIFS(Products!$G:$G,Products!$A:$A,$A11,Products!$C:$C,"Upsell")</f>
        <v>0</v>
      </c>
      <c r="E11" s="23" t="n">
        <f aca="false">SUMIFS(Products!$G:$G,Products!$A:$A,$A11,Products!$C:$C,"Downgrade")-SUMIFS(Products!$F:$F,Products!$A:$A,$A11,Products!$C:$C,"Churn")</f>
        <v>0</v>
      </c>
      <c r="F11" s="18"/>
      <c r="G11" s="18"/>
      <c r="H11" s="23" t="n">
        <f aca="false">MIN(0,C11-(SUMIFS(Products!$J:$J,Products!$A:$A,$A11)-SUMIFS(Products!$K:$K,Products!$A:$A,$A11)))</f>
        <v>0</v>
      </c>
      <c r="I11" s="23" t="n">
        <f aca="false">SUMIFS(Products!$K:$K,Products!$A:$A,$A11)</f>
        <v>35000</v>
      </c>
      <c r="J11" s="23" t="n">
        <f aca="false">I11-B11</f>
        <v>0</v>
      </c>
      <c r="K11" s="22" t="n">
        <f aca="false">IF(B11=0,0,J11/B11)</f>
        <v>0</v>
      </c>
    </row>
    <row r="12" customFormat="false" ht="15" hidden="false" customHeight="false" outlineLevel="0" collapsed="false">
      <c r="A12" s="32" t="str">
        <f aca="false">Pipeline!A13</f>
        <v>Marlowe Insurance</v>
      </c>
      <c r="B12" s="23" t="n">
        <f aca="false">SUMIFS(Products!$F:$F,Products!$A:$A,$A12)</f>
        <v>46000</v>
      </c>
      <c r="C12" s="23" t="n">
        <f aca="false">SUMPRODUCT((Products!$A$5:$A$200=$A12)*Products!$F$5:$F$200*Products!$H$5:$H$200)</f>
        <v>0</v>
      </c>
      <c r="D12" s="23" t="n">
        <f aca="false">SUMIFS(Products!$G:$G,Products!$A:$A,$A12,Products!$C:$C,"Upsell")</f>
        <v>0</v>
      </c>
      <c r="E12" s="23" t="n">
        <f aca="false">SUMIFS(Products!$G:$G,Products!$A:$A,$A12,Products!$C:$C,"Downgrade")-SUMIFS(Products!$F:$F,Products!$A:$A,$A12,Products!$C:$C,"Churn")</f>
        <v>0</v>
      </c>
      <c r="F12" s="18"/>
      <c r="G12" s="18"/>
      <c r="H12" s="23" t="n">
        <f aca="false">MIN(0,C12-(SUMIFS(Products!$J:$J,Products!$A:$A,$A12)-SUMIFS(Products!$K:$K,Products!$A:$A,$A12)))</f>
        <v>0</v>
      </c>
      <c r="I12" s="23" t="n">
        <f aca="false">SUMIFS(Products!$K:$K,Products!$A:$A,$A12)</f>
        <v>46000</v>
      </c>
      <c r="J12" s="23" t="n">
        <f aca="false">I12-B12</f>
        <v>0</v>
      </c>
      <c r="K12" s="22" t="n">
        <f aca="false">IF(B12=0,0,J12/B12)</f>
        <v>0</v>
      </c>
    </row>
    <row r="13" customFormat="false" ht="15" hidden="false" customHeight="false" outlineLevel="0" collapsed="false">
      <c r="A13" s="32" t="str">
        <f aca="false">Pipeline!A14</f>
        <v>Quanta Labs</v>
      </c>
      <c r="B13" s="23" t="n">
        <f aca="false">SUMIFS(Products!$F:$F,Products!$A:$A,$A13)</f>
        <v>40000</v>
      </c>
      <c r="C13" s="23" t="n">
        <f aca="false">SUMPRODUCT((Products!$A$5:$A$200=$A13)*Products!$F$5:$F$200*Products!$H$5:$H$200)</f>
        <v>0</v>
      </c>
      <c r="D13" s="23" t="n">
        <f aca="false">SUMIFS(Products!$G:$G,Products!$A:$A,$A13,Products!$C:$C,"Upsell")</f>
        <v>0</v>
      </c>
      <c r="E13" s="23" t="n">
        <f aca="false">SUMIFS(Products!$G:$G,Products!$A:$A,$A13,Products!$C:$C,"Downgrade")-SUMIFS(Products!$F:$F,Products!$A:$A,$A13,Products!$C:$C,"Churn")</f>
        <v>-8000</v>
      </c>
      <c r="F13" s="18" t="s">
        <v>201</v>
      </c>
      <c r="G13" s="18" t="s">
        <v>203</v>
      </c>
      <c r="H13" s="23" t="n">
        <f aca="false">MIN(0,C13-(SUMIFS(Products!$J:$J,Products!$A:$A,$A13)-SUMIFS(Products!$K:$K,Products!$A:$A,$A13)))</f>
        <v>0</v>
      </c>
      <c r="I13" s="23" t="n">
        <f aca="false">SUMIFS(Products!$K:$K,Products!$A:$A,$A13)</f>
        <v>32000</v>
      </c>
      <c r="J13" s="23" t="n">
        <f aca="false">I13-B13</f>
        <v>-8000</v>
      </c>
      <c r="K13" s="22" t="n">
        <f aca="false">IF(B13=0,0,J13/B13)</f>
        <v>-0.2</v>
      </c>
    </row>
    <row r="14" customFormat="false" ht="15" hidden="false" customHeight="false" outlineLevel="0" collapsed="false">
      <c r="A14" s="2" t="s">
        <v>137</v>
      </c>
      <c r="B14" s="24" t="n">
        <f aca="false">SUM(B4:B13)</f>
        <v>375000</v>
      </c>
      <c r="C14" s="24" t="n">
        <f aca="false">SUM(C4:C13)</f>
        <v>0</v>
      </c>
      <c r="D14" s="24" t="n">
        <f aca="false">SUM(D4:D13)</f>
        <v>0</v>
      </c>
      <c r="E14" s="24" t="n">
        <f aca="false">SUM(E4:E13)</f>
        <v>-23000</v>
      </c>
      <c r="H14" s="24" t="n">
        <f aca="false">SUM(H4:H13)</f>
        <v>-3600</v>
      </c>
      <c r="I14" s="24" t="n">
        <f aca="false">SUM(I4:I13)</f>
        <v>348400</v>
      </c>
      <c r="J14" s="24" t="n">
        <f aca="false">SUM(J4:J13)</f>
        <v>-26600</v>
      </c>
      <c r="K14" s="33" t="n">
        <f aca="false">IF(B14=0,0,J14/B14)</f>
        <v>-0.0709333333333333</v>
      </c>
    </row>
    <row r="15" customFormat="false" ht="15" hidden="false" customHeight="false" outlineLevel="0" collapsed="false">
      <c r="A15" s="34" t="s">
        <v>204</v>
      </c>
      <c r="E15" s="35" t="n">
        <f aca="false">SUMIFS(E4:E13,F4:F13,"Regrettable")</f>
        <v>-23000</v>
      </c>
      <c r="F15" s="35" t="n">
        <f aca="false">SUMIFS(E4:E13,F4:F13,"Non-regrettable")</f>
        <v>0</v>
      </c>
      <c r="H15" s="35" t="n">
        <f aca="false">H14</f>
        <v>-3600</v>
      </c>
    </row>
    <row r="16" customFormat="false" ht="43.5" hidden="false" customHeight="true" outlineLevel="0" collapsed="false">
      <c r="A16" s="2" t="s">
        <v>205</v>
      </c>
      <c r="B16" s="31" t="s">
        <v>206</v>
      </c>
      <c r="C16" s="31"/>
      <c r="D16" s="31"/>
      <c r="E16" s="31"/>
      <c r="F16" s="31"/>
      <c r="G16" s="31"/>
      <c r="H16" s="31"/>
      <c r="I16" s="31"/>
      <c r="J16" s="31"/>
      <c r="K16" s="31"/>
    </row>
    <row r="17" customFormat="false" ht="15" hidden="false" customHeight="false" outlineLevel="0" collapsed="false">
      <c r="A17" s="2" t="s">
        <v>207</v>
      </c>
      <c r="B17" s="12" t="str">
        <f aca="false">COUNTIFS(E4:E13,"&lt;0",F4:F13,"")&amp;" opportunities with churn but no category"</f>
        <v>0 opportunities with churn but no category</v>
      </c>
    </row>
    <row r="18" customFormat="false" ht="15" hidden="false" customHeight="false" outlineLevel="0" collapsed="false">
      <c r="A18" s="12" t="s">
        <v>208</v>
      </c>
      <c r="B18" s="12" t="str">
        <f aca="false">IF(ABS(I14-Pipeline!S15)&lt;1,"OK","MISMATCH")</f>
        <v>OK</v>
      </c>
    </row>
  </sheetData>
  <mergeCells count="1">
    <mergeCell ref="B16:K16"/>
  </mergeCells>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3">
    <cfRule type="expression" priority="5" aboveAverage="0" equalAverage="0" bottom="0" percent="0" rank="0" text="" dxfId="1">
      <formula>AND(E4&lt;0,F4="")</formula>
    </cfRule>
  </conditionalFormatting>
  <dataValidations count="1">
    <dataValidation allowBlank="false" errorStyle="stop" operator="between" showDropDown="false" showErrorMessage="false" showInputMessage="false" sqref="F4:F13" type="list">
      <formula1>"Regrettable,Non-regrettable"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209</v>
      </c>
    </row>
    <row r="3" customFormat="false" ht="31.5" hidden="false" customHeight="true" outlineLevel="0" collapsed="false">
      <c r="A3" s="6" t="s">
        <v>57</v>
      </c>
      <c r="B3" s="6" t="s">
        <v>56</v>
      </c>
      <c r="C3" s="6" t="s">
        <v>210</v>
      </c>
      <c r="D3" s="6" t="s">
        <v>47</v>
      </c>
      <c r="E3" s="6" t="s">
        <v>61</v>
      </c>
      <c r="F3" s="6" t="s">
        <v>211</v>
      </c>
      <c r="G3" s="6" t="s">
        <v>212</v>
      </c>
      <c r="H3" s="6" t="s">
        <v>213</v>
      </c>
      <c r="I3" s="6" t="s">
        <v>214</v>
      </c>
      <c r="J3" s="6" t="s">
        <v>215</v>
      </c>
    </row>
    <row r="4" customFormat="false" ht="15" hidden="false" customHeight="false" outlineLevel="0" collapsed="false">
      <c r="A4" s="15" t="s">
        <v>216</v>
      </c>
      <c r="B4" s="15" t="s">
        <v>217</v>
      </c>
      <c r="C4" s="15" t="n">
        <f aca="false">COUNTIFS(Pipeline!$M$5:$M$14,B4)</f>
        <v>2</v>
      </c>
      <c r="D4" s="23" t="n">
        <f aca="false">SUMIFS(Pipeline!$B$5:$B$14,Pipeline!$M$5:$M$14,B4)</f>
        <v>69000</v>
      </c>
      <c r="E4" s="23" t="n">
        <f aca="false">SUMIFS(Pipeline!$S$5:$S$14,Pipeline!$M$5:$M$14,B4)</f>
        <v>69000</v>
      </c>
      <c r="F4" s="23" t="n">
        <f aca="false">SUMIFS(Pipeline!$T$5:$T$14,Pipeline!$M$5:$M$14,B4)</f>
        <v>22500</v>
      </c>
      <c r="G4" s="23" t="n">
        <f aca="false">SUMIFS(Pipeline!$T$5:$T$14,Pipeline!$M$5:$M$14,B4,Pipeline!$U$5:$U$14,"On time")</f>
        <v>0</v>
      </c>
      <c r="H4" s="23" t="n">
        <f aca="false">SUMIFS(Pipeline!$T$5:$T$14,Pipeline!$M$5:$M$14,B4,Pipeline!$U$5:$U$14,"Late")</f>
        <v>22500</v>
      </c>
      <c r="I4" s="23" t="n">
        <f aca="false">SUMIFS(Pipeline!$B$5:$B$14,Pipeline!$M$5:$M$14,B4,Pipeline!$L$5:$L$14,"YES")</f>
        <v>21000</v>
      </c>
      <c r="J4" s="23" t="n">
        <f aca="false">SUMPRODUCT((TEXT(Pipeline!$C$5:$C$14,"yyyy-mm")=B4)*('Opp summary'!$F$4:$F$13="Regrettable")*'Opp summary'!$E$4:$E$13)</f>
        <v>0</v>
      </c>
    </row>
    <row r="5" customFormat="false" ht="15" hidden="false" customHeight="false" outlineLevel="0" collapsed="false">
      <c r="A5" s="15" t="s">
        <v>216</v>
      </c>
      <c r="B5" s="15" t="s">
        <v>218</v>
      </c>
      <c r="C5" s="15" t="n">
        <f aca="false">COUNTIFS(Pipeline!$M$5:$M$14,B5)</f>
        <v>5</v>
      </c>
      <c r="D5" s="23" t="n">
        <f aca="false">SUMIFS(Pipeline!$B$5:$B$14,Pipeline!$M$5:$M$14,B5)</f>
        <v>184000</v>
      </c>
      <c r="E5" s="23" t="n">
        <f aca="false">SUMIFS(Pipeline!$S$5:$S$14,Pipeline!$M$5:$M$14,B5)</f>
        <v>169000</v>
      </c>
      <c r="F5" s="23" t="n">
        <f aca="false">SUMIFS(Pipeline!$T$5:$T$14,Pipeline!$M$5:$M$14,B5)</f>
        <v>65200</v>
      </c>
      <c r="G5" s="23" t="n">
        <f aca="false">SUMIFS(Pipeline!$T$5:$T$14,Pipeline!$M$5:$M$14,B5,Pipeline!$U$5:$U$14,"On time")</f>
        <v>26600</v>
      </c>
      <c r="H5" s="23" t="n">
        <f aca="false">SUMIFS(Pipeline!$T$5:$T$14,Pipeline!$M$5:$M$14,B5,Pipeline!$U$5:$U$14,"Late")</f>
        <v>38600</v>
      </c>
      <c r="I5" s="23" t="n">
        <f aca="false">SUMIFS(Pipeline!$B$5:$B$14,Pipeline!$M$5:$M$14,B5,Pipeline!$L$5:$L$14,"YES")</f>
        <v>0</v>
      </c>
      <c r="J5" s="23" t="n">
        <f aca="false">SUMPRODUCT((TEXT(Pipeline!$C$5:$C$14,"yyyy-mm")=B5)*('Opp summary'!$F$4:$F$13="Regrettable")*'Opp summary'!$E$4:$E$13)</f>
        <v>-15000</v>
      </c>
    </row>
    <row r="6" customFormat="false" ht="15" hidden="false" customHeight="false" outlineLevel="0" collapsed="false">
      <c r="A6" s="15" t="s">
        <v>216</v>
      </c>
      <c r="B6" s="15" t="s">
        <v>219</v>
      </c>
      <c r="C6" s="15" t="n">
        <f aca="false">COUNTIFS(Pipeline!$M$5:$M$14,B6)</f>
        <v>3</v>
      </c>
      <c r="D6" s="23" t="n">
        <f aca="false">SUMIFS(Pipeline!$B$5:$B$14,Pipeline!$M$5:$M$14,B6)</f>
        <v>122000</v>
      </c>
      <c r="E6" s="23" t="n">
        <f aca="false">SUMIFS(Pipeline!$S$5:$S$14,Pipeline!$M$5:$M$14,B6)</f>
        <v>110400</v>
      </c>
      <c r="F6" s="23" t="n">
        <f aca="false">SUMIFS(Pipeline!$T$5:$T$14,Pipeline!$M$5:$M$14,B6)</f>
        <v>45100</v>
      </c>
      <c r="G6" s="23" t="n">
        <f aca="false">SUMIFS(Pipeline!$T$5:$T$14,Pipeline!$M$5:$M$14,B6,Pipeline!$U$5:$U$14,"On time")</f>
        <v>45100</v>
      </c>
      <c r="H6" s="23" t="n">
        <f aca="false">SUMIFS(Pipeline!$T$5:$T$14,Pipeline!$M$5:$M$14,B6,Pipeline!$U$5:$U$14,"Late")</f>
        <v>0</v>
      </c>
      <c r="I6" s="23" t="n">
        <f aca="false">SUMIFS(Pipeline!$B$5:$B$14,Pipeline!$M$5:$M$14,B6,Pipeline!$L$5:$L$14,"YES")</f>
        <v>0</v>
      </c>
      <c r="J6" s="23" t="n">
        <f aca="false">SUMPRODUCT((TEXT(Pipeline!$C$5:$C$14,"yyyy-mm")=B6)*('Opp summary'!$F$4:$F$13="Regrettable")*'Opp summary'!$E$4:$E$13)</f>
        <v>-8000</v>
      </c>
    </row>
    <row r="7" customFormat="false" ht="15" hidden="false" customHeight="false" outlineLevel="0" collapsed="false">
      <c r="A7" s="2" t="s">
        <v>220</v>
      </c>
      <c r="C7" s="2" t="n">
        <f aca="false">SUM(C4:C6)</f>
        <v>10</v>
      </c>
      <c r="D7" s="24" t="n">
        <f aca="false">SUM(D4:D6)</f>
        <v>375000</v>
      </c>
      <c r="E7" s="24" t="n">
        <f aca="false">SUM(E4:E6)</f>
        <v>348400</v>
      </c>
      <c r="F7" s="24" t="n">
        <f aca="false">SUM(F4:F6)</f>
        <v>132800</v>
      </c>
      <c r="G7" s="24" t="n">
        <f aca="false">SUM(G4:G6)</f>
        <v>71700</v>
      </c>
      <c r="H7" s="24" t="n">
        <f aca="false">SUM(H4:H6)</f>
        <v>61100</v>
      </c>
      <c r="I7" s="24" t="n">
        <f aca="false">SUM(I4:I6)</f>
        <v>21000</v>
      </c>
      <c r="J7" s="24"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1"/>
    <col collapsed="false" customWidth="true" hidden="false" outlineLevel="0" max="7" min="7" style="0" width="70"/>
    <col collapsed="false" customWidth="true" hidden="false" outlineLevel="0" max="8" min="8" style="0" width="11"/>
  </cols>
  <sheetData>
    <row r="1" customFormat="false" ht="16.15" hidden="false" customHeight="false" outlineLevel="0" collapsed="false">
      <c r="A1" s="4" t="s">
        <v>221</v>
      </c>
    </row>
    <row r="2" customFormat="false" ht="15" hidden="false" customHeight="false" outlineLevel="0" collapsed="false">
      <c r="A2" s="5" t="s">
        <v>222</v>
      </c>
    </row>
    <row r="4" customFormat="false" ht="31.5" hidden="false" customHeight="true" outlineLevel="0" collapsed="false">
      <c r="A4" s="6" t="s">
        <v>34</v>
      </c>
      <c r="B4" s="6" t="s">
        <v>223</v>
      </c>
      <c r="C4" s="6" t="s">
        <v>224</v>
      </c>
      <c r="D4" s="6" t="s">
        <v>225</v>
      </c>
      <c r="E4" s="6" t="s">
        <v>226</v>
      </c>
      <c r="F4" s="6" t="s">
        <v>227</v>
      </c>
      <c r="G4" s="6" t="s">
        <v>228</v>
      </c>
      <c r="H4" s="6" t="s">
        <v>229</v>
      </c>
    </row>
    <row r="5" customFormat="false" ht="15" hidden="false" customHeight="false" outlineLevel="0" collapsed="false">
      <c r="A5" s="7" t="s">
        <v>230</v>
      </c>
      <c r="B5" s="36" t="n">
        <v>0</v>
      </c>
      <c r="C5" s="36" t="n">
        <v>0</v>
      </c>
      <c r="D5" s="36" t="n">
        <v>0</v>
      </c>
      <c r="E5" s="36" t="n">
        <v>0</v>
      </c>
      <c r="F5" s="36" t="n">
        <v>0</v>
      </c>
      <c r="G5" s="8" t="s">
        <v>231</v>
      </c>
      <c r="H5" s="15" t="s">
        <v>71</v>
      </c>
    </row>
    <row r="6" customFormat="false" ht="15" hidden="false" customHeight="false" outlineLevel="0" collapsed="false">
      <c r="A6" s="7" t="s">
        <v>99</v>
      </c>
      <c r="B6" s="36" t="n">
        <v>0.05</v>
      </c>
      <c r="C6" s="36" t="n">
        <v>0.1</v>
      </c>
      <c r="D6" s="36" t="n">
        <v>0.2</v>
      </c>
      <c r="E6" s="36" t="n">
        <v>0.3</v>
      </c>
      <c r="F6" s="36" t="n">
        <v>0.35</v>
      </c>
      <c r="G6" s="8" t="s">
        <v>232</v>
      </c>
      <c r="H6" s="15" t="s">
        <v>71</v>
      </c>
    </row>
    <row r="7" customFormat="false" ht="15" hidden="false" customHeight="false" outlineLevel="0" collapsed="false">
      <c r="A7" s="7" t="s">
        <v>83</v>
      </c>
      <c r="B7" s="36" t="n">
        <v>0.1</v>
      </c>
      <c r="C7" s="36" t="n">
        <v>0.25</v>
      </c>
      <c r="D7" s="36" t="n">
        <v>0.35</v>
      </c>
      <c r="E7" s="36" t="n">
        <v>0.45</v>
      </c>
      <c r="F7" s="36" t="n">
        <v>0.5</v>
      </c>
      <c r="G7" s="8" t="s">
        <v>233</v>
      </c>
      <c r="H7" s="15" t="s">
        <v>71</v>
      </c>
    </row>
    <row r="8" customFormat="false" ht="15" hidden="false" customHeight="false" outlineLevel="0" collapsed="false">
      <c r="A8" s="7" t="s">
        <v>106</v>
      </c>
      <c r="B8" s="36" t="n">
        <v>0.2</v>
      </c>
      <c r="C8" s="36" t="n">
        <v>0.4</v>
      </c>
      <c r="D8" s="36" t="n">
        <v>0.5</v>
      </c>
      <c r="E8" s="36" t="n">
        <v>0.55</v>
      </c>
      <c r="F8" s="36" t="n">
        <v>0.55</v>
      </c>
      <c r="G8" s="8" t="s">
        <v>234</v>
      </c>
      <c r="H8" s="15" t="s">
        <v>71</v>
      </c>
    </row>
    <row r="9" customFormat="false" ht="15" hidden="false" customHeight="false" outlineLevel="0" collapsed="false">
      <c r="A9" s="7" t="s">
        <v>73</v>
      </c>
      <c r="B9" s="36" t="n">
        <v>0.5</v>
      </c>
      <c r="C9" s="36" t="n">
        <v>0.75</v>
      </c>
      <c r="D9" s="36" t="n">
        <v>0.7</v>
      </c>
      <c r="E9" s="36" t="n">
        <v>0.65</v>
      </c>
      <c r="F9" s="36" t="n">
        <v>0.6</v>
      </c>
      <c r="G9" s="8" t="s">
        <v>235</v>
      </c>
      <c r="H9" s="15" t="s">
        <v>71</v>
      </c>
    </row>
    <row r="10" customFormat="false" ht="15" hidden="false" customHeight="false" outlineLevel="0" collapsed="false">
      <c r="A10" s="7" t="s">
        <v>80</v>
      </c>
      <c r="B10" s="36" t="n">
        <v>0.7</v>
      </c>
      <c r="C10" s="36" t="n">
        <v>0.9</v>
      </c>
      <c r="D10" s="36" t="n">
        <v>0.85</v>
      </c>
      <c r="E10" s="36" t="n">
        <v>0.8</v>
      </c>
      <c r="F10" s="36" t="n">
        <v>0.75</v>
      </c>
      <c r="G10" s="8" t="s">
        <v>236</v>
      </c>
      <c r="H10" s="15" t="s">
        <v>71</v>
      </c>
    </row>
    <row r="11" customFormat="false" ht="15" hidden="false" customHeight="false" outlineLevel="0" collapsed="false">
      <c r="A11" s="7" t="s">
        <v>88</v>
      </c>
      <c r="B11" s="36" t="n">
        <v>0.95</v>
      </c>
      <c r="C11" s="36" t="n">
        <v>0.99</v>
      </c>
      <c r="D11" s="36" t="n">
        <v>0.97</v>
      </c>
      <c r="E11" s="36" t="n">
        <v>0.95</v>
      </c>
      <c r="F11" s="36" t="n">
        <v>0.9</v>
      </c>
      <c r="G11" s="8" t="s">
        <v>237</v>
      </c>
      <c r="H11" s="15" t="s">
        <v>71</v>
      </c>
    </row>
    <row r="12" customFormat="false" ht="15" hidden="false" customHeight="false" outlineLevel="0" collapsed="false">
      <c r="A12" s="7" t="s">
        <v>238</v>
      </c>
      <c r="B12" s="36" t="n">
        <v>1</v>
      </c>
      <c r="C12" s="36" t="n">
        <v>1</v>
      </c>
      <c r="D12" s="36" t="n">
        <v>1</v>
      </c>
      <c r="E12" s="36" t="n">
        <v>1</v>
      </c>
      <c r="F12" s="36" t="n">
        <v>1</v>
      </c>
      <c r="G12" s="8" t="s">
        <v>239</v>
      </c>
      <c r="H12" s="15" t="s">
        <v>71</v>
      </c>
    </row>
    <row r="13" customFormat="false" ht="15" hidden="false" customHeight="false" outlineLevel="0" collapsed="false">
      <c r="A13" s="7" t="s">
        <v>240</v>
      </c>
      <c r="B13" s="36" t="n">
        <v>0</v>
      </c>
      <c r="C13" s="36" t="n">
        <v>0</v>
      </c>
      <c r="D13" s="36" t="n">
        <v>0</v>
      </c>
      <c r="E13" s="36" t="n">
        <v>0</v>
      </c>
      <c r="F13" s="36" t="n">
        <v>0</v>
      </c>
      <c r="G13" s="8" t="s">
        <v>241</v>
      </c>
      <c r="H13" s="15" t="s">
        <v>242</v>
      </c>
    </row>
    <row r="14" customFormat="false" ht="26.85" hidden="false" customHeight="false" outlineLevel="0" collapsed="false">
      <c r="A14" s="7" t="s">
        <v>96</v>
      </c>
      <c r="B14" s="36" t="n">
        <v>0.4</v>
      </c>
      <c r="C14" s="36" t="n">
        <v>0.97</v>
      </c>
      <c r="D14" s="36" t="n">
        <v>0.95</v>
      </c>
      <c r="E14" s="36" t="n">
        <v>0.92</v>
      </c>
      <c r="F14" s="36" t="n">
        <v>0.9</v>
      </c>
      <c r="G14" s="8" t="s">
        <v>243</v>
      </c>
      <c r="H14" s="15" t="s">
        <v>90</v>
      </c>
    </row>
    <row r="15" customFormat="false" ht="26.85" hidden="false" customHeight="false" outlineLevel="0" collapsed="false">
      <c r="A15" s="7" t="s">
        <v>91</v>
      </c>
      <c r="B15" s="36" t="n">
        <v>0.4</v>
      </c>
      <c r="C15" s="36" t="n">
        <v>0.6</v>
      </c>
      <c r="D15" s="36" t="n">
        <v>0.7</v>
      </c>
      <c r="E15" s="36" t="n">
        <v>0.75</v>
      </c>
      <c r="F15" s="36" t="n">
        <v>0.8</v>
      </c>
      <c r="G15" s="8" t="s">
        <v>244</v>
      </c>
      <c r="H15" s="15" t="s">
        <v>90</v>
      </c>
    </row>
    <row r="16" customFormat="false" ht="26.85" hidden="false" customHeight="false" outlineLevel="0" collapsed="false">
      <c r="A16" s="7" t="s">
        <v>133</v>
      </c>
      <c r="B16" s="36" t="n">
        <v>0.2</v>
      </c>
      <c r="C16" s="36" t="n">
        <v>0.35</v>
      </c>
      <c r="D16" s="36" t="n">
        <v>0.4</v>
      </c>
      <c r="E16" s="36" t="n">
        <v>0.45</v>
      </c>
      <c r="F16" s="36" t="n">
        <v>0.5</v>
      </c>
      <c r="G16" s="8" t="s">
        <v>245</v>
      </c>
      <c r="H16" s="15" t="s">
        <v>90</v>
      </c>
    </row>
    <row r="17" customFormat="false" ht="26.85" hidden="false" customHeight="false" outlineLevel="0" collapsed="false">
      <c r="A17" s="7" t="s">
        <v>246</v>
      </c>
      <c r="B17" s="36" t="n">
        <v>0.5</v>
      </c>
      <c r="C17" s="36" t="n">
        <v>0.8</v>
      </c>
      <c r="D17" s="36" t="n">
        <v>0.8</v>
      </c>
      <c r="E17" s="36" t="n">
        <v>0.8</v>
      </c>
      <c r="F17" s="36" t="n">
        <v>0.8</v>
      </c>
      <c r="G17" s="8" t="s">
        <v>247</v>
      </c>
      <c r="H17" s="15" t="s">
        <v>90</v>
      </c>
    </row>
    <row r="18" customFormat="false" ht="26.85" hidden="false" customHeight="false" outlineLevel="0" collapsed="false">
      <c r="A18" s="7" t="s">
        <v>248</v>
      </c>
      <c r="B18" s="36" t="n">
        <v>0</v>
      </c>
      <c r="C18" s="36" t="n">
        <v>0.1</v>
      </c>
      <c r="D18" s="36" t="n">
        <v>0.1</v>
      </c>
      <c r="E18" s="36" t="n">
        <v>0.1</v>
      </c>
      <c r="F18" s="36" t="n">
        <v>0.1</v>
      </c>
      <c r="G18" s="8" t="s">
        <v>249</v>
      </c>
      <c r="H18" s="15" t="s">
        <v>90</v>
      </c>
    </row>
    <row r="19" customFormat="false" ht="15" hidden="false" customHeight="false" outlineLevel="0" collapsed="false">
      <c r="A19" s="7" t="s">
        <v>250</v>
      </c>
      <c r="B19" s="36" t="n">
        <v>1</v>
      </c>
      <c r="C19" s="36" t="n">
        <v>1</v>
      </c>
      <c r="D19" s="36" t="n">
        <v>1</v>
      </c>
      <c r="E19" s="36" t="n">
        <v>1</v>
      </c>
      <c r="F19" s="36" t="n">
        <v>1</v>
      </c>
      <c r="G19" s="8" t="s">
        <v>251</v>
      </c>
      <c r="H19" s="15" t="s">
        <v>90</v>
      </c>
    </row>
    <row r="21" customFormat="false" ht="15" hidden="false" customHeight="true" outlineLevel="0" collapsed="false">
      <c r="A21" s="2" t="s">
        <v>15</v>
      </c>
      <c r="B21" s="31" t="s">
        <v>252</v>
      </c>
      <c r="C21" s="31"/>
      <c r="D21" s="31"/>
      <c r="E21" s="31"/>
      <c r="F21" s="31"/>
      <c r="G21" s="31"/>
    </row>
    <row r="22" customFormat="false" ht="15" hidden="false" customHeight="false" outlineLevel="0" collapsed="false">
      <c r="B22" s="31"/>
      <c r="C22" s="31"/>
      <c r="D22" s="31"/>
      <c r="E22" s="31"/>
      <c r="F22" s="31"/>
      <c r="G22" s="31"/>
    </row>
    <row r="23" customFormat="false" ht="15" hidden="false" customHeight="false" outlineLevel="0" collapsed="false">
      <c r="B23" s="31"/>
      <c r="C23" s="31"/>
      <c r="D23" s="31"/>
      <c r="E23" s="31"/>
      <c r="F23" s="31"/>
      <c r="G23" s="31"/>
    </row>
    <row r="25" customFormat="false" ht="15" hidden="false" customHeight="true" outlineLevel="0" collapsed="false">
      <c r="A25" s="2" t="s">
        <v>11</v>
      </c>
      <c r="B25" s="31" t="s">
        <v>253</v>
      </c>
      <c r="C25" s="31"/>
      <c r="D25" s="31"/>
      <c r="E25" s="31"/>
      <c r="F25" s="31"/>
      <c r="G25" s="31"/>
    </row>
    <row r="26" customFormat="false" ht="15" hidden="false" customHeight="false" outlineLevel="0" collapsed="false">
      <c r="B26" s="31"/>
      <c r="C26" s="31"/>
      <c r="D26" s="31"/>
      <c r="E26" s="31"/>
      <c r="F26" s="31"/>
      <c r="G26" s="31"/>
    </row>
    <row r="27" customFormat="false" ht="15" hidden="false" customHeight="false" outlineLevel="0" collapsed="false">
      <c r="B27" s="31"/>
      <c r="C27" s="31"/>
      <c r="D27" s="31"/>
      <c r="E27" s="31"/>
      <c r="F27" s="31"/>
      <c r="G27" s="31"/>
    </row>
  </sheetData>
  <mergeCells count="2">
    <mergeCell ref="B21:G23"/>
    <mergeCell ref="B25:G27"/>
  </mergeCells>
  <conditionalFormatting sqref="B5:F19">
    <cfRule type="expression" priority="2" aboveAverage="0" equalAverage="0" bottom="0" percent="0" rank="0" text="" dxfId="3">
      <formula>B5&gt;=0.8</formula>
    </cfRule>
    <cfRule type="expression" priority="3" aboveAverage="0" equalAverage="0" bottom="0" percent="0" rank="0" text="" dxfId="1">
      <formula>AND(B5&gt;0,B5&lt;0.4)</formula>
    </cfRule>
  </conditionalFormatting>
  <conditionalFormatting sqref="H5:H19">
    <cfRule type="expression" priority="4" aboveAverage="0" equalAverage="0" bottom="0" percent="0" rank="0" text="" dxfId="2">
      <formula>H5="Auto"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254</v>
      </c>
    </row>
    <row r="3" customFormat="false" ht="31.5" hidden="false" customHeight="true" outlineLevel="0" collapsed="false">
      <c r="A3" s="6" t="s">
        <v>255</v>
      </c>
      <c r="B3" s="6" t="s">
        <v>256</v>
      </c>
      <c r="C3" s="6" t="s">
        <v>257</v>
      </c>
    </row>
    <row r="4" customFormat="false" ht="15" hidden="false" customHeight="false" outlineLevel="0" collapsed="false">
      <c r="A4" s="8" t="s">
        <v>258</v>
      </c>
      <c r="B4" s="8" t="s">
        <v>259</v>
      </c>
      <c r="C4" s="8" t="s">
        <v>260</v>
      </c>
    </row>
    <row r="5" customFormat="false" ht="15" hidden="false" customHeight="false" outlineLevel="0" collapsed="false">
      <c r="A5" s="8" t="s">
        <v>261</v>
      </c>
      <c r="B5" s="8" t="s">
        <v>262</v>
      </c>
      <c r="C5" s="8" t="s">
        <v>263</v>
      </c>
    </row>
    <row r="6" customFormat="false" ht="15" hidden="false" customHeight="false" outlineLevel="0" collapsed="false">
      <c r="A6" s="8" t="s">
        <v>264</v>
      </c>
      <c r="B6" s="8" t="s">
        <v>265</v>
      </c>
      <c r="C6" s="8" t="s">
        <v>266</v>
      </c>
    </row>
    <row r="7" customFormat="false" ht="15" hidden="false" customHeight="false" outlineLevel="0" collapsed="false">
      <c r="A7" s="8" t="s">
        <v>267</v>
      </c>
      <c r="B7" s="8" t="s">
        <v>268</v>
      </c>
      <c r="C7" s="8" t="s">
        <v>269</v>
      </c>
    </row>
    <row r="8" customFormat="false" ht="15" hidden="false" customHeight="false" outlineLevel="0" collapsed="false">
      <c r="A8" s="8" t="s">
        <v>180</v>
      </c>
      <c r="B8" s="8" t="s">
        <v>270</v>
      </c>
      <c r="C8" s="8" t="s">
        <v>271</v>
      </c>
    </row>
    <row r="9" customFormat="false" ht="15" hidden="false" customHeight="false" outlineLevel="0" collapsed="false">
      <c r="A9" s="8" t="s">
        <v>272</v>
      </c>
      <c r="B9" s="8" t="s">
        <v>273</v>
      </c>
      <c r="C9" s="8" t="s">
        <v>274</v>
      </c>
    </row>
    <row r="10" customFormat="false" ht="15" hidden="false" customHeight="false" outlineLevel="0" collapsed="false">
      <c r="A10" s="8" t="s">
        <v>275</v>
      </c>
      <c r="B10" s="8" t="s">
        <v>276</v>
      </c>
      <c r="C10" s="8" t="s">
        <v>277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2026-10-26T10:01:46Z</dcterms:created>
  <dc:creator>openpyxl</dc:creator>
  <dc:description/>
  <dc:language>en-US</dc:language>
  <cp:lastModifiedBy/>
  <dcterms:modified xsi:type="dcterms:W3CDTF">2026-10-26T10:01:46Z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