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Pipeline" sheetId="2" state="visible" r:id="rId4"/>
    <sheet name="Products" sheetId="3" state="visible" r:id="rId5"/>
    <sheet name="Opp summary" sheetId="4" state="visible" r:id="rId6"/>
    <sheet name="Monthly report" sheetId="5" state="visible" r:id="rId7"/>
    <sheet name="Probability" sheetId="6" state="visible" r:id="rId8"/>
    <sheet name="Policy"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set to Tue 20 Oct 2026 so that Vantage is overdue and the other nine fall inside 60 days. Replace with =TODAY() in live use.</t>
        </r>
      </text>
    </comment>
  </commentList>
</comments>
</file>

<file path=xl/sharedStrings.xml><?xml version="1.0" encoding="utf-8"?>
<sst xmlns="http://schemas.openxmlformats.org/spreadsheetml/2006/main" count="314" uniqueCount="221">
  <si>
    <t xml:space="preserve">Renewal tracker: how this model works</t>
  </si>
  <si>
    <t xml:space="preserve">Purpose</t>
  </si>
  <si>
    <t xml:space="preserve">One source of truth for the renewal book: by month/quarter, by status, by product line, with a forecast the VP can trust.</t>
  </si>
  <si>
    <t xml:space="preserve">Today</t>
  </si>
  <si>
    <t xml:space="preserve">Pipeline!B2 = 20 Oct 2026 (exercise date). Switch to =TODAY() in live use.</t>
  </si>
  <si>
    <t xml:space="preserve">Pipeline</t>
  </si>
  <si>
    <t xml:space="preserve">One row per renewal opportunity. Days to renewal, window, overdue flag, month and quarter are formulas off Renewal Date. Amber customer name = manual renewal inside 60 days that has not reached 'Quoted' (quote lead-time breach).</t>
  </si>
  <si>
    <t xml:space="preserve">Probability</t>
  </si>
  <si>
    <t xml:space="preserve">Close-on-time probability = Status x Days-to-renewal matrix, x CSM health multiplier. Auto-renewals with no blocker get a floor. Edit the blue cells to recalibrate after each quarter.</t>
  </si>
  <si>
    <t xml:space="preserve">Products</t>
  </si>
  <si>
    <t xml:space="preserve">Each opportunity's lines: Renewal / Upsell / Downgrade / Cross-sell / Churn. Original ARR is kept; new ARR applies the 5% uplift to renewed base, list price to changes, and discount. Δ is green for growth, red for contraction. Approval column reads the policy.</t>
  </si>
  <si>
    <t xml:space="preserve">Opp summary</t>
  </si>
  <si>
    <t xml:space="preserve">Rolls product lines up: uplift, upsell, downgrade, churn, discount, new ARR, net change (green/red). Feeds Pipeline col Q.</t>
  </si>
  <si>
    <t xml:space="preserve">Monthly report</t>
  </si>
  <si>
    <t xml:space="preserve">Renewals grouped by quarter and month: count, ARR, overdue, weighted forecast, my call, and quote-lead-time breaches.</t>
  </si>
  <si>
    <t xml:space="preserve">Two forecasts</t>
  </si>
  <si>
    <t xml:space="preserve">System-weighted (probability x new ARR) is the cross-check; the Forecast call (On time / Late / Lost, columns S-U) is my judgement per deal and what I would send to the VP. When the two disagree by &gt;10% I review the deal.</t>
  </si>
  <si>
    <t xml:space="preserve">Colour code</t>
  </si>
  <si>
    <t xml:space="preserve">Blue text on yellow = input. Black = formula. Green text = link to another tab. Red/green fills = risk/healthy.</t>
  </si>
  <si>
    <t xml:space="preserve">Source</t>
  </si>
  <si>
    <t xml:space="preserve">All customers, numbers and policies are fictional, from the n8n Renewals Specialist challenge brief. Plan names and the downgrade price points are illustrative assumptions.</t>
  </si>
  <si>
    <t xml:space="preserve">Q4 2026 renewal pipeline: first slice (10 renewals, €375k ARR)</t>
  </si>
  <si>
    <t xml:space="preserve">Target date</t>
  </si>
  <si>
    <t xml:space="preserve">Blue / yellow cells are inputs. Everything else is a formula. Columns Y-AA show where this week's actions move the forecast.</t>
  </si>
  <si>
    <t xml:space="preserve">Customer</t>
  </si>
  <si>
    <t xml:space="preserve">Base ARR (€)</t>
  </si>
  <si>
    <t xml:space="preserve">Renewal date</t>
  </si>
  <si>
    <t xml:space="preserve">Type</t>
  </si>
  <si>
    <t xml:space="preserve">Usage 90d</t>
  </si>
  <si>
    <t xml:space="preserve">Health</t>
  </si>
  <si>
    <t xml:space="preserve">Renewal Status</t>
  </si>
  <si>
    <t xml:space="preserve">Blocker</t>
  </si>
  <si>
    <t xml:space="preserve">Days to renewal</t>
  </si>
  <si>
    <t xml:space="preserve">Window</t>
  </si>
  <si>
    <t xml:space="preserve">Overdue?</t>
  </si>
  <si>
    <t xml:space="preserve">Month</t>
  </si>
  <si>
    <t xml:space="preserve">Quarter</t>
  </si>
  <si>
    <t xml:space="preserve">Stage prob.</t>
  </si>
  <si>
    <t xml:space="preserve">Health mult.</t>
  </si>
  <si>
    <t xml:space="preserve">Final prob.</t>
  </si>
  <si>
    <t xml:space="preserve">New ARR (€) from Products</t>
  </si>
  <si>
    <t xml:space="preserve">Weighted New ARR (€)</t>
  </si>
  <si>
    <t xml:space="preserve">Forecast call</t>
  </si>
  <si>
    <t xml:space="preserve">Call ARR retained (€)</t>
  </si>
  <si>
    <t xml:space="preserve">Call new ARR (€)</t>
  </si>
  <si>
    <t xml:space="preserve">Next action</t>
  </si>
  <si>
    <t xml:space="preserve">Owner</t>
  </si>
  <si>
    <t xml:space="preserve">Due</t>
  </si>
  <si>
    <t xml:space="preserve">Target status by 30 Oct</t>
  </si>
  <si>
    <t xml:space="preserve">Target prob.</t>
  </si>
  <si>
    <t xml:space="preserve">Weighted after actions (€)</t>
  </si>
  <si>
    <t xml:space="preserve">Vantage Freight</t>
  </si>
  <si>
    <t xml:space="preserve">Manual</t>
  </si>
  <si>
    <t xml:space="preserve">Yellow</t>
  </si>
  <si>
    <t xml:space="preserve">Quoted</t>
  </si>
  <si>
    <t xml:space="preserve">No named contact (shared inbox)</t>
  </si>
  <si>
    <t xml:space="preserve">Late</t>
  </si>
  <si>
    <t xml:space="preserve">CSM pulls instance owner/admin emails from product data; I call + email the named person; agree signing date. Manager decides grace period before access is restricted.</t>
  </si>
  <si>
    <t xml:space="preserve">Me + CSM</t>
  </si>
  <si>
    <t xml:space="preserve">Waiting for PO</t>
  </si>
  <si>
    <t xml:space="preserve">Northwind Logistics</t>
  </si>
  <si>
    <t xml:space="preserve">Green</t>
  </si>
  <si>
    <t xml:space="preserve">Not started</t>
  </si>
  <si>
    <t xml:space="preserve">No quote sent; signed 3 days late last year</t>
  </si>
  <si>
    <t xml:space="preserve">On time</t>
  </si>
  <si>
    <t xml:space="preserve">Send quote + order form (e-sign) at €50.4k today. Ask champion for signatory name and book signature for 27 Oct.</t>
  </si>
  <si>
    <t xml:space="preserve">Me</t>
  </si>
  <si>
    <t xml:space="preserve">PO received</t>
  </si>
  <si>
    <t xml:space="preserve">Pixelforge</t>
  </si>
  <si>
    <t xml:space="preserve">Auto</t>
  </si>
  <si>
    <t xml:space="preserve">Engaging customer</t>
  </si>
  <si>
    <t xml:space="preserve">Card expired; billing contact unknown</t>
  </si>
  <si>
    <t xml:space="preserve">CSM gets billing contact today; I send secure card-update link or switch to invoice. Check if uplift notice is still contractually possible (likely not).</t>
  </si>
  <si>
    <t xml:space="preserve">CSM + Me</t>
  </si>
  <si>
    <t xml:space="preserve">Halden Health</t>
  </si>
  <si>
    <t xml:space="preserve">Red</t>
  </si>
  <si>
    <t xml:space="preserve">Champion left; new owner unknown</t>
  </si>
  <si>
    <t xml:space="preserve">ESCALATE TODAY. CSM + me + exec sponsor meet new owner this week. Legal checks if the 30-day notice window (8 Oct) passed without notice. Prepare right-sized option.</t>
  </si>
  <si>
    <t xml:space="preserve">CSM (lead) + Me</t>
  </si>
  <si>
    <t xml:space="preserve">Brightloop</t>
  </si>
  <si>
    <t xml:space="preserve">Negotiation</t>
  </si>
  <si>
    <t xml:space="preserve">Procurement asks: 25% off, net 60, no auto-renew, 3-month TfC</t>
  </si>
  <si>
    <t xml:space="preserve">Reply to Sam today; Finance pre-approval for up to 12% + net 60 on 2-year; call with Sam + Priya this week. Target signature 30 Nov.</t>
  </si>
  <si>
    <t xml:space="preserve">Tessera Finance</t>
  </si>
  <si>
    <t xml:space="preserve">MSA redlines open since Sep; security review</t>
  </si>
  <si>
    <t xml:space="preserve">ESCALATE TODAY to Legal: close redlines by 6 Nov. Send security pack today. Offer to renew on the current MSA so the renewal is not blocked by the MSA.</t>
  </si>
  <si>
    <t xml:space="preserve">Legal + Me</t>
  </si>
  <si>
    <t xml:space="preserve">Lumen Retail</t>
  </si>
  <si>
    <t xml:space="preserve">Invoice to a different legal entity</t>
  </si>
  <si>
    <t xml:space="preserve">Get new entity details (name, VAT, address). Legal: billing change only or assignment? Finance updates billing before invoice run. Send uplift notice.</t>
  </si>
  <si>
    <t xml:space="preserve">Me + Finance</t>
  </si>
  <si>
    <t xml:space="preserve">Kestrel Analytics</t>
  </si>
  <si>
    <t xml:space="preserve">Close to execution cap</t>
  </si>
  <si>
    <t xml:space="preserve">CSM runs usage review; I send two quotes: like-for-like renewal (€36.75k) and next execution tier. Upsell is upside, not in commit.</t>
  </si>
  <si>
    <t xml:space="preserve">Marlowe Insurance</t>
  </si>
  <si>
    <t xml:space="preserve">Vendor questionnaire + DPA needed for PO</t>
  </si>
  <si>
    <t xml:space="preserve">Send standard DPA + questionnaire answered from the trust centre (AI first draft, Security reviews) by 27 Oct. Send quote with it.</t>
  </si>
  <si>
    <t xml:space="preserve">Me + Legal</t>
  </si>
  <si>
    <t xml:space="preserve">Quanta Labs</t>
  </si>
  <si>
    <t xml:space="preserve">Budget cuts in Q1; 2 check-ins unanswered</t>
  </si>
  <si>
    <t xml:space="preserve">CSM + exec sponsor reach out via a new contact; I check the cancellation-notice deadline. Offer right-sizing or a 2-year price lock before they send notice.</t>
  </si>
  <si>
    <t xml:space="preserve">Total</t>
  </si>
  <si>
    <t xml:space="preserve">Forecast vs €375k base (my call, column S/T)</t>
  </si>
  <si>
    <t xml:space="preserve">Bucket</t>
  </si>
  <si>
    <t xml:space="preserve">ARR (€)</t>
  </si>
  <si>
    <t xml:space="preserve">% of base</t>
  </si>
  <si>
    <t xml:space="preserve">New ARR incl. uplift (€)</t>
  </si>
  <si>
    <t xml:space="preserve">Lost (churn + contraction)</t>
  </si>
  <si>
    <t xml:space="preserve">Gross retention (GRR)</t>
  </si>
  <si>
    <t xml:space="preserve">Net retention (NRR, incl. uplift)</t>
  </si>
  <si>
    <t xml:space="preserve">System-weighted New ARR today (statuses as inherited)</t>
  </si>
  <si>
    <t xml:space="preserve">System-weighted New ARR after this week's actions</t>
  </si>
  <si>
    <t xml:space="preserve">Reading: the weighted number today is low because statuses lag the dates (quotes not sent inside 60 days). It is the forecast if nothing changes. The call assumes this week's actions land.</t>
  </si>
  <si>
    <t xml:space="preserve">Least certain: the Lost number. Halden alone can land anywhere from €0 to €47k. Second: Tessera's timing (on time vs late).</t>
  </si>
  <si>
    <t xml:space="preserve">Opportunity products: renewal / upsell / downgrade / churn per line</t>
  </si>
  <si>
    <t xml:space="preserve">Original ARR is never overwritten: it stays for comparison. Change at list = +upsell / -downgrade. Uplift applies to the renewed base only. Discount is measured against the uplifted list renewal price, so waiving the uplift counts as a discount (policy C).</t>
  </si>
  <si>
    <t xml:space="preserve">Opportunity</t>
  </si>
  <si>
    <t xml:space="preserve">Product</t>
  </si>
  <si>
    <t xml:space="preserve">Line type</t>
  </si>
  <si>
    <t xml:space="preserve">Term (yrs)</t>
  </si>
  <si>
    <t xml:space="preserve">Original ARR (€)</t>
  </si>
  <si>
    <t xml:space="preserve">Change at list (€)</t>
  </si>
  <si>
    <t xml:space="preserve">Uplift %</t>
  </si>
  <si>
    <t xml:space="preserve">Discount %</t>
  </si>
  <si>
    <t xml:space="preserve">New ARR (€)</t>
  </si>
  <si>
    <t xml:space="preserve">Δ vs original (€)</t>
  </si>
  <si>
    <t xml:space="preserve">Δ %</t>
  </si>
  <si>
    <t xml:space="preserve">List renewal price (€)</t>
  </si>
  <si>
    <t xml:space="preserve">Approval needed</t>
  </si>
  <si>
    <t xml:space="preserve">Note</t>
  </si>
  <si>
    <t xml:space="preserve">n8n Business (annual)</t>
  </si>
  <si>
    <t xml:space="preserve">Renewal</t>
  </si>
  <si>
    <t xml:space="preserve">Quote of 1 Sep assumed to include 5% uplift</t>
  </si>
  <si>
    <t xml:space="preserve">n8n Enterprise Cloud</t>
  </si>
  <si>
    <t xml:space="preserve">Usage +12%: check cap; upsell later in year</t>
  </si>
  <si>
    <t xml:space="preserve">Auto-renew: uplift notice likely too late this cycle</t>
  </si>
  <si>
    <t xml:space="preserve">Downgrade</t>
  </si>
  <si>
    <t xml:space="preserve">Right-size to smaller plan at list (assumed €30k)</t>
  </si>
  <si>
    <t xml:space="preserve">n8n Enterprise (Tier 3)</t>
  </si>
  <si>
    <t xml:space="preserve">Walk-away line: 2-yr at Finance max 12%</t>
  </si>
  <si>
    <t xml:space="preserve">Bill to new legal entity</t>
  </si>
  <si>
    <t xml:space="preserve">Commit line</t>
  </si>
  <si>
    <t xml:space="preserve">Execution tier upgrade</t>
  </si>
  <si>
    <t xml:space="preserve">Upsell</t>
  </si>
  <si>
    <t xml:space="preserve">Fill in when the customer picks a tier (upside, not commit)</t>
  </si>
  <si>
    <t xml:space="preserve">Right-sized in line with -20% usage</t>
  </si>
  <si>
    <t xml:space="preserve">Uplift (indexation) rule</t>
  </si>
  <si>
    <t xml:space="preserve">Default 5% on every 1-year renewal line (policy C). For n8n the index is a flat 5% across industries; if the business later indexes by segment (e.g. regulated industries with CPI clauses), change column G per line. On a 2-year term the uplift may be waived inside the 5% multi-year allowance with no approval.</t>
  </si>
  <si>
    <t xml:space="preserve">Opportunity roll-up: churn, contraction, upsell and new ARR calculated from product lines</t>
  </si>
  <si>
    <t xml:space="preserve">Uplift (€)</t>
  </si>
  <si>
    <t xml:space="preserve">Upsell / cross-sell (€)</t>
  </si>
  <si>
    <t xml:space="preserve">Downgrade (€)</t>
  </si>
  <si>
    <t xml:space="preserve">Churn (€)</t>
  </si>
  <si>
    <t xml:space="preserve">Discount (€)</t>
  </si>
  <si>
    <t xml:space="preserve">Net change (€)</t>
  </si>
  <si>
    <t xml:space="preserve">Net change %</t>
  </si>
  <si>
    <t xml:space="preserve">Gross retained (€)</t>
  </si>
  <si>
    <t xml:space="preserve">GRR (product view)</t>
  </si>
  <si>
    <t xml:space="preserve">NRR (product view)</t>
  </si>
  <si>
    <t xml:space="preserve">Check: ties to Pipeline col Q</t>
  </si>
  <si>
    <t xml:space="preserve">Renewals by quarter and month (by renewal date): base for every alert and automation</t>
  </si>
  <si>
    <t xml:space="preserve"># renewals</t>
  </si>
  <si>
    <t xml:space="preserve">Overdue ARR (€)</t>
  </si>
  <si>
    <t xml:space="preserve">Call: on time (€)</t>
  </si>
  <si>
    <t xml:space="preserve">Call: late (€)</t>
  </si>
  <si>
    <t xml:space="preserve">Call: lost (€)</t>
  </si>
  <si>
    <t xml:space="preserve"># without quote ≤60d</t>
  </si>
  <si>
    <t xml:space="preserve">Q4 2026</t>
  </si>
  <si>
    <t xml:space="preserve">2026-10</t>
  </si>
  <si>
    <t xml:space="preserve">2026-11</t>
  </si>
  <si>
    <t xml:space="preserve">2026-12</t>
  </si>
  <si>
    <t xml:space="preserve">Q4 2026 total</t>
  </si>
  <si>
    <t xml:space="preserve">In the CRM this is a report grouped by Renewal Date (calendar month) and Fiscal Quarter, with the same columns as summary fields. Every alert (overdue, 60-day quote, 30-day signature, auto-renew notice) keys off the same Renewal Date field.</t>
  </si>
  <si>
    <t xml:space="preserve">Close-on-time probability: Renewal Status x days to renewal</t>
  </si>
  <si>
    <t xml:space="preserve">Later status + closer date = higher probability. Early status + closer date = LOWER probability, because there is no longer time to finish the cycle. Blue = editable.</t>
  </si>
  <si>
    <t xml:space="preserve">Overdue</t>
  </si>
  <si>
    <t xml:space="preserve">0-30</t>
  </si>
  <si>
    <t xml:space="preserve">31-60</t>
  </si>
  <si>
    <t xml:space="preserve">61-90</t>
  </si>
  <si>
    <t xml:space="preserve">&gt;90</t>
  </si>
  <si>
    <t xml:space="preserve">Exit criteria (what must be true to be in this status)</t>
  </si>
  <si>
    <t xml:space="preserve">--None--</t>
  </si>
  <si>
    <t xml:space="preserve">Not allowed. Hygiene alert: every open renewal must have a status.</t>
  </si>
  <si>
    <t xml:space="preserve">Renewal opp exists; no customer contact about the renewal yet.</t>
  </si>
  <si>
    <t xml:space="preserve">Decision maker and signatory known; renewal timeline agreed.</t>
  </si>
  <si>
    <t xml:space="preserve">Commercial terms under discussion; customer asks are in writing.</t>
  </si>
  <si>
    <t xml:space="preserve">Final quote + order form sent and verbally accepted by the champion.</t>
  </si>
  <si>
    <t xml:space="preserve">Order form approved by buyer; in their PO / signature workflow.</t>
  </si>
  <si>
    <t xml:space="preserve">PO or signature in hand; only booking and invoicing remain.</t>
  </si>
  <si>
    <t xml:space="preserve">Closed won</t>
  </si>
  <si>
    <t xml:space="preserve">Signed, booked in CRM, invoiced. (Suggested addition to the picklist.)</t>
  </si>
  <si>
    <t xml:space="preserve">Cancelled</t>
  </si>
  <si>
    <t xml:space="preserve">Customer gave notice or will not renew. Churn is booked.</t>
  </si>
  <si>
    <t xml:space="preserve">Health multiplier (from CSM)</t>
  </si>
  <si>
    <t xml:space="preserve">Multiplier</t>
  </si>
  <si>
    <t xml:space="preserve">Auto-renew floor</t>
  </si>
  <si>
    <t xml:space="preserve">Auto-renewals with no cancellation notice and a valid payment method are at least this likely (before health). A blocker (expired card, entity change) removes the floor.</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</si>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</sst>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8">
    <numFmt numFmtId="164" formatCode="General"/>
    <numFmt numFmtId="165" formatCode="dd\ mmm\ yyyy"/>
    <numFmt numFmtId="166" formatCode="\€#,##0;[RED]&quot;-€&quot;#,##0;\-"/>
    <numFmt numFmtId="167" formatCode="0%;[RED]\-0%;\-"/>
    <numFmt numFmtId="168" formatCode="General"/>
    <numFmt numFmtId="169" formatCode="0.00"/>
    <numFmt numFmtId="170" formatCode="0.0%"/>
    <numFmt numFmtId="171"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b val="true"/>
      <sz val="13"/>
      <name val="Arial"/>
      <family val="0"/>
      <charset val="1"/>
    </font>
    <font>
      <sz val="11"/>
      <color rgb="FF0000FF"/>
      <name val="Arial"/>
      <family val="0"/>
      <charset val="1"/>
    </font>
    <font>
      <i val="true"/>
      <sz val="11"/>
      <name val="Arial"/>
      <family val="0"/>
      <charset val="1"/>
    </font>
    <font>
      <b val="true"/>
      <sz val="11"/>
      <color rgb="FFFFFFFF"/>
      <name val="Arial"/>
      <family val="0"/>
      <charset val="1"/>
    </font>
    <font>
      <sz val="11"/>
      <color theme="1"/>
      <name val="Arial"/>
      <family val="0"/>
      <charset val="1"/>
    </font>
    <font>
      <b val="true"/>
      <sz val="12"/>
      <name val="Arial"/>
      <family val="0"/>
      <charset val="1"/>
    </font>
    <font>
      <sz val="10"/>
      <name val="Arial"/>
      <family val="2"/>
    </font>
    <font>
      <sz val="11"/>
      <color rgb="FF008000"/>
      <name val="Arial"/>
      <family val="0"/>
      <charset val="1"/>
    </font>
  </fonts>
  <fills count="4">
    <fill>
      <patternFill patternType="none"/>
    </fill>
    <fill>
      <patternFill patternType="gray125"/>
    </fill>
    <fill>
      <patternFill patternType="solid">
        <fgColor rgb="FFFFF2CC"/>
        <bgColor rgb="FFFFF3CD"/>
      </patternFill>
    </fill>
    <fill>
      <patternFill patternType="solid">
        <fgColor rgb="FF2B2B3C"/>
        <bgColor rgb="FF333300"/>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1" fontId="8" fillId="2"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9C0006"/>
      </font>
      <fill>
        <patternFill>
          <bgColor rgb="FFF8D7DA"/>
        </patternFill>
      </fill>
    </dxf>
    <dxf>
      <fill>
        <patternFill>
          <bgColor rgb="FFFFF3CD"/>
        </patternFill>
      </fill>
    </dxf>
    <dxf>
      <fill>
        <patternFill>
          <bgColor rgb="FFF8D7DA"/>
        </patternFill>
      </fill>
    </dxf>
    <dxf>
      <fill>
        <patternFill>
          <bgColor rgb="FFD4EDDA"/>
        </patternFill>
      </fill>
    </dxf>
    <dxf>
      <font>
        <name val="Arial"/>
        <charset val="1"/>
        <family val="0"/>
        <b val="1"/>
        <color rgb="FF006100"/>
      </font>
      <fill>
        <patternFill>
          <bgColor rgb="FFD4EDDA"/>
        </patternFill>
      </fill>
    </dxf>
    <dxf>
      <font>
        <name val="Arial"/>
        <charset val="1"/>
        <family val="0"/>
        <color rgb="FF9C0006"/>
      </font>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3.75" hidden="false" customHeight="true" outlineLevel="0" collapsed="false">
      <c r="A3" s="2" t="s">
        <v>1</v>
      </c>
      <c r="B3" s="3" t="s">
        <v>2</v>
      </c>
    </row>
    <row r="4" customFormat="false" ht="33.75" hidden="false" customHeight="true" outlineLevel="0" collapsed="false">
      <c r="A4" s="2" t="s">
        <v>3</v>
      </c>
      <c r="B4" s="3" t="s">
        <v>4</v>
      </c>
    </row>
    <row r="5" customFormat="false" ht="33.75" hidden="false" customHeight="true" outlineLevel="0" collapsed="false">
      <c r="A5" s="2" t="s">
        <v>5</v>
      </c>
      <c r="B5" s="3" t="s">
        <v>6</v>
      </c>
    </row>
    <row r="6" customFormat="false" ht="33.75" hidden="false" customHeight="true" outlineLevel="0" collapsed="false">
      <c r="A6" s="2" t="s">
        <v>7</v>
      </c>
      <c r="B6" s="3" t="s">
        <v>8</v>
      </c>
    </row>
    <row r="7" customFormat="false" ht="33.75" hidden="false" customHeight="true" outlineLevel="0" collapsed="false">
      <c r="A7" s="2" t="s">
        <v>9</v>
      </c>
      <c r="B7" s="3" t="s">
        <v>10</v>
      </c>
    </row>
    <row r="8" customFormat="false" ht="33.75" hidden="false" customHeight="true" outlineLevel="0" collapsed="false">
      <c r="A8" s="2" t="s">
        <v>11</v>
      </c>
      <c r="B8" s="3" t="s">
        <v>12</v>
      </c>
    </row>
    <row r="9" customFormat="false" ht="33.75" hidden="false" customHeight="true" outlineLevel="0" collapsed="false">
      <c r="A9" s="2" t="s">
        <v>13</v>
      </c>
      <c r="B9" s="3" t="s">
        <v>14</v>
      </c>
    </row>
    <row r="10" customFormat="false" ht="33.75" hidden="false" customHeight="true" outlineLevel="0" collapsed="false">
      <c r="A10" s="2" t="s">
        <v>15</v>
      </c>
      <c r="B10" s="3" t="s">
        <v>16</v>
      </c>
    </row>
    <row r="11" customFormat="false" ht="33.75" hidden="false" customHeight="true" outlineLevel="0" collapsed="false">
      <c r="A11" s="2" t="s">
        <v>17</v>
      </c>
      <c r="B11" s="3" t="s">
        <v>18</v>
      </c>
    </row>
    <row r="12" customFormat="false" ht="33.75" hidden="false" customHeight="true" outlineLevel="0" collapsed="false">
      <c r="A12" s="2" t="s">
        <v>19</v>
      </c>
      <c r="B12"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9"/>
    <col collapsed="false" customWidth="true" hidden="false" outlineLevel="0" max="7" min="7" style="0" width="18"/>
    <col collapsed="false" customWidth="true" hidden="false" outlineLevel="0" max="8" min="8" style="0" width="26"/>
    <col collapsed="false" customWidth="true" hidden="false" outlineLevel="0" max="9" min="9" style="0" width="10"/>
    <col collapsed="false" customWidth="true" hidden="false" outlineLevel="0" max="11" min="10" style="0" width="9"/>
    <col collapsed="false" customWidth="true" hidden="false" outlineLevel="0" max="12" min="12" style="0" width="10"/>
    <col collapsed="false" customWidth="true" hidden="false" outlineLevel="0" max="16" min="13" style="0" width="9"/>
    <col collapsed="false" customWidth="true" hidden="false" outlineLevel="0" max="18" min="17" style="0" width="13"/>
    <col collapsed="false" customWidth="true" hidden="false" outlineLevel="0" max="19" min="19" style="0" width="12"/>
    <col collapsed="false" customWidth="true" hidden="false" outlineLevel="0" max="21" min="20" style="0" width="13"/>
    <col collapsed="false" customWidth="true" hidden="false" outlineLevel="0" max="22" min="22" style="0" width="60"/>
    <col collapsed="false" customWidth="true" hidden="false" outlineLevel="0" max="24" min="23" style="0" width="12"/>
    <col collapsed="false" customWidth="true" hidden="false" outlineLevel="0" max="25" min="25" style="0" width="18"/>
    <col collapsed="false" customWidth="true" hidden="false" outlineLevel="0" max="26" min="26" style="0" width="9"/>
    <col collapsed="false" customWidth="true" hidden="false" outlineLevel="0" max="27" min="27" style="0" width="14"/>
  </cols>
  <sheetData>
    <row r="1" customFormat="false" ht="16.15" hidden="false" customHeight="false" outlineLevel="0" collapsed="false">
      <c r="A1" s="4" t="s">
        <v>21</v>
      </c>
    </row>
    <row r="2" customFormat="false" ht="15" hidden="false" customHeight="false" outlineLevel="0" collapsed="false">
      <c r="A2" s="2" t="s">
        <v>3</v>
      </c>
      <c r="B2" s="5" t="n">
        <v>46315</v>
      </c>
      <c r="D2" s="2" t="s">
        <v>22</v>
      </c>
      <c r="E2" s="5" t="n">
        <v>46325</v>
      </c>
      <c r="F2" s="6" t="s">
        <v>23</v>
      </c>
    </row>
    <row r="4" customFormat="false" ht="31.5" hidden="false" customHeight="true" outlineLevel="0" collapsed="false">
      <c r="A4" s="7" t="s">
        <v>24</v>
      </c>
      <c r="B4" s="7" t="s">
        <v>25</v>
      </c>
      <c r="C4" s="7" t="s">
        <v>26</v>
      </c>
      <c r="D4" s="7" t="s">
        <v>27</v>
      </c>
      <c r="E4" s="7" t="s">
        <v>28</v>
      </c>
      <c r="F4" s="7" t="s">
        <v>29</v>
      </c>
      <c r="G4" s="7" t="s">
        <v>30</v>
      </c>
      <c r="H4" s="7" t="s">
        <v>31</v>
      </c>
      <c r="I4" s="7" t="s">
        <v>32</v>
      </c>
      <c r="J4" s="7" t="s">
        <v>33</v>
      </c>
      <c r="K4" s="7" t="s">
        <v>34</v>
      </c>
      <c r="L4" s="7" t="s">
        <v>35</v>
      </c>
      <c r="M4" s="7" t="s">
        <v>36</v>
      </c>
      <c r="N4" s="7" t="s">
        <v>37</v>
      </c>
      <c r="O4" s="7" t="s">
        <v>38</v>
      </c>
      <c r="P4" s="7" t="s">
        <v>39</v>
      </c>
      <c r="Q4" s="7" t="s">
        <v>40</v>
      </c>
      <c r="R4" s="7" t="s">
        <v>41</v>
      </c>
      <c r="S4" s="7" t="s">
        <v>42</v>
      </c>
      <c r="T4" s="7" t="s">
        <v>43</v>
      </c>
      <c r="U4" s="7" t="s">
        <v>44</v>
      </c>
      <c r="V4" s="7" t="s">
        <v>45</v>
      </c>
      <c r="W4" s="7" t="s">
        <v>46</v>
      </c>
      <c r="X4" s="7" t="s">
        <v>47</v>
      </c>
      <c r="Y4" s="7" t="s">
        <v>48</v>
      </c>
      <c r="Z4" s="7" t="s">
        <v>49</v>
      </c>
      <c r="AA4" s="7" t="s">
        <v>50</v>
      </c>
    </row>
    <row r="5" customFormat="false" ht="48" hidden="false" customHeight="true" outlineLevel="0" collapsed="false">
      <c r="A5" s="8" t="s">
        <v>51</v>
      </c>
      <c r="B5" s="9" t="n">
        <v>21000</v>
      </c>
      <c r="C5" s="10" t="n">
        <v>46310</v>
      </c>
      <c r="D5" s="11" t="s">
        <v>52</v>
      </c>
      <c r="E5" s="12" t="n">
        <v>0</v>
      </c>
      <c r="F5" s="11" t="s">
        <v>53</v>
      </c>
      <c r="G5" s="11" t="s">
        <v>54</v>
      </c>
      <c r="H5" s="13" t="s">
        <v>55</v>
      </c>
      <c r="I5" s="14" t="n">
        <f aca="false">C5-$B$2</f>
        <v>-5</v>
      </c>
      <c r="J5" s="8" t="str">
        <f aca="false">IF(I5&lt;0,"Overdue",IF(I5&lt;=30,"0-30",IF(I5&lt;=60,"31-60",IF(I5&lt;=90,"61-90","&gt;90"))))</f>
        <v>Overdue</v>
      </c>
      <c r="K5" s="8" t="str">
        <f aca="false">IF(AND(I5&lt;0,G5&lt;&gt;"Closed won",G5&lt;&gt;"Cancelled"),"YES","")</f>
        <v>YES</v>
      </c>
      <c r="L5" s="14" t="str">
        <f aca="false">TEXT(C5,"yyyy-mm")</f>
        <v>2026-10</v>
      </c>
      <c r="M5" s="14" t="str">
        <f aca="false">"Q"&amp;ROUNDUP(MONTH(C5)/3,0)&amp;" "&amp;YEAR(C5)</f>
        <v>Q4 2026</v>
      </c>
      <c r="N5" s="15" t="n">
        <f aca="false">MAX(INDEX(Probability!$B$5:$F$13,MATCH(G5,Probability!$A$5:$A$13,0),MATCH(J5,Probability!$B$4:$F$4,0)),IF(AND(D5="Auto",H5=""),Probability!$B$23,0))</f>
        <v>0.4</v>
      </c>
      <c r="O5" s="16" t="n">
        <f aca="false">INDEX(Probability!$B$18:$B$20,MATCH(F5,Probability!$A$18:$A$20,0))</f>
        <v>0.85</v>
      </c>
      <c r="P5" s="15" t="n">
        <f aca="false">N5*O5</f>
        <v>0.34</v>
      </c>
      <c r="Q5" s="17" t="n">
        <f aca="false">SUMIFS(Products!$I:$I,Products!$A:$A,A5)</f>
        <v>22050</v>
      </c>
      <c r="R5" s="17" t="n">
        <f aca="false">Q5*P5</f>
        <v>7497</v>
      </c>
      <c r="S5" s="11" t="s">
        <v>56</v>
      </c>
      <c r="T5" s="9" t="n">
        <v>21000</v>
      </c>
      <c r="U5" s="9" t="n">
        <v>22050</v>
      </c>
      <c r="V5" s="18" t="s">
        <v>57</v>
      </c>
      <c r="W5" s="11" t="s">
        <v>58</v>
      </c>
      <c r="X5" s="10" t="n">
        <v>46316</v>
      </c>
      <c r="Y5" s="11" t="s">
        <v>59</v>
      </c>
      <c r="Z5" s="15" t="n">
        <f aca="false">MAX(INDEX(Probability!$B$5:$F$13,MATCH(Y5,Probability!$A$5:$A$13,0),MATCH(IF(C5-$E$2&lt;0,"Overdue",IF(C5-$E$2&lt;=30,"0-30",IF(C5-$E$2&lt;=60,"31-60",IF(C5-$E$2&lt;=90,"61-90","&gt;90")))),Probability!$B$4:$F$4,0)),IF(D5="Auto",Probability!$B$23,0))*O5</f>
        <v>0.51</v>
      </c>
      <c r="AA5" s="17" t="n">
        <f aca="false">Q5*Z5</f>
        <v>11245.5</v>
      </c>
    </row>
    <row r="6" customFormat="false" ht="48" hidden="false" customHeight="true" outlineLevel="0" collapsed="false">
      <c r="A6" s="8" t="s">
        <v>60</v>
      </c>
      <c r="B6" s="9" t="n">
        <v>48000</v>
      </c>
      <c r="C6" s="10" t="n">
        <v>46324</v>
      </c>
      <c r="D6" s="11" t="s">
        <v>52</v>
      </c>
      <c r="E6" s="12" t="n">
        <v>0.12</v>
      </c>
      <c r="F6" s="11" t="s">
        <v>61</v>
      </c>
      <c r="G6" s="11" t="s">
        <v>62</v>
      </c>
      <c r="H6" s="13" t="s">
        <v>63</v>
      </c>
      <c r="I6" s="14" t="n">
        <f aca="false">C6-$B$2</f>
        <v>9</v>
      </c>
      <c r="J6" s="8" t="str">
        <f aca="false">IF(I6&lt;0,"Overdue",IF(I6&lt;=30,"0-30",IF(I6&lt;=60,"31-60",IF(I6&lt;=90,"61-90","&gt;90"))))</f>
        <v>0-30</v>
      </c>
      <c r="K6" s="8" t="str">
        <f aca="false">IF(AND(I6&lt;0,G6&lt;&gt;"Closed won",G6&lt;&gt;"Cancelled"),"YES","")</f>
        <v/>
      </c>
      <c r="L6" s="14" t="str">
        <f aca="false">TEXT(C6,"yyyy-mm")</f>
        <v>2026-10</v>
      </c>
      <c r="M6" s="14" t="str">
        <f aca="false">"Q"&amp;ROUNDUP(MONTH(C6)/3,0)&amp;" "&amp;YEAR(C6)</f>
        <v>Q4 2026</v>
      </c>
      <c r="N6" s="15" t="n">
        <f aca="false">MAX(INDEX(Probability!$B$5:$F$13,MATCH(G6,Probability!$A$5:$A$13,0),MATCH(J6,Probability!$B$4:$F$4,0)),IF(AND(D6="Auto",H6=""),Probability!$B$23,0))</f>
        <v>0.1</v>
      </c>
      <c r="O6" s="16" t="n">
        <f aca="false">INDEX(Probability!$B$18:$B$20,MATCH(F6,Probability!$A$18:$A$20,0))</f>
        <v>1</v>
      </c>
      <c r="P6" s="15" t="n">
        <f aca="false">N6*O6</f>
        <v>0.1</v>
      </c>
      <c r="Q6" s="17" t="n">
        <f aca="false">SUMIFS(Products!$I:$I,Products!$A:$A,A6)</f>
        <v>50400</v>
      </c>
      <c r="R6" s="17" t="n">
        <f aca="false">Q6*P6</f>
        <v>5040</v>
      </c>
      <c r="S6" s="11" t="s">
        <v>64</v>
      </c>
      <c r="T6" s="9" t="n">
        <v>48000</v>
      </c>
      <c r="U6" s="9" t="n">
        <v>50400</v>
      </c>
      <c r="V6" s="18" t="s">
        <v>65</v>
      </c>
      <c r="W6" s="11" t="s">
        <v>66</v>
      </c>
      <c r="X6" s="10" t="n">
        <v>46315</v>
      </c>
      <c r="Y6" s="11" t="s">
        <v>67</v>
      </c>
      <c r="Z6" s="15" t="n">
        <f aca="false">MAX(INDEX(Probability!$B$5:$F$13,MATCH(Y6,Probability!$A$5:$A$13,0),MATCH(IF(C6-$E$2&lt;0,"Overdue",IF(C6-$E$2&lt;=30,"0-30",IF(C6-$E$2&lt;=60,"31-60",IF(C6-$E$2&lt;=90,"61-90","&gt;90")))),Probability!$B$4:$F$4,0)),IF(D6="Auto",Probability!$B$23,0))*O6</f>
        <v>0.9</v>
      </c>
      <c r="AA6" s="17" t="n">
        <f aca="false">Q6*Z6</f>
        <v>45360</v>
      </c>
    </row>
    <row r="7" customFormat="false" ht="48" hidden="false" customHeight="true" outlineLevel="0" collapsed="false">
      <c r="A7" s="8" t="s">
        <v>68</v>
      </c>
      <c r="B7" s="9" t="n">
        <v>26000</v>
      </c>
      <c r="C7" s="10" t="n">
        <v>46328</v>
      </c>
      <c r="D7" s="11" t="s">
        <v>69</v>
      </c>
      <c r="E7" s="12" t="n">
        <v>0</v>
      </c>
      <c r="F7" s="11" t="s">
        <v>61</v>
      </c>
      <c r="G7" s="11" t="s">
        <v>70</v>
      </c>
      <c r="H7" s="13" t="s">
        <v>71</v>
      </c>
      <c r="I7" s="14" t="n">
        <f aca="false">C7-$B$2</f>
        <v>13</v>
      </c>
      <c r="J7" s="8" t="str">
        <f aca="false">IF(I7&lt;0,"Overdue",IF(I7&lt;=30,"0-30",IF(I7&lt;=60,"31-60",IF(I7&lt;=90,"61-90","&gt;90"))))</f>
        <v>0-30</v>
      </c>
      <c r="K7" s="8" t="str">
        <f aca="false">IF(AND(I7&lt;0,G7&lt;&gt;"Closed won",G7&lt;&gt;"Cancelled"),"YES","")</f>
        <v/>
      </c>
      <c r="L7" s="14" t="str">
        <f aca="false">TEXT(C7,"yyyy-mm")</f>
        <v>2026-11</v>
      </c>
      <c r="M7" s="14" t="str">
        <f aca="false">"Q"&amp;ROUNDUP(MONTH(C7)/3,0)&amp;" "&amp;YEAR(C7)</f>
        <v>Q4 2026</v>
      </c>
      <c r="N7" s="15" t="n">
        <f aca="false">MAX(INDEX(Probability!$B$5:$F$13,MATCH(G7,Probability!$A$5:$A$13,0),MATCH(J7,Probability!$B$4:$F$4,0)),IF(AND(D7="Auto",H7=""),Probability!$B$23,0))</f>
        <v>0.25</v>
      </c>
      <c r="O7" s="16" t="n">
        <f aca="false">INDEX(Probability!$B$18:$B$20,MATCH(F7,Probability!$A$18:$A$20,0))</f>
        <v>1</v>
      </c>
      <c r="P7" s="15" t="n">
        <f aca="false">N7*O7</f>
        <v>0.25</v>
      </c>
      <c r="Q7" s="17" t="n">
        <f aca="false">SUMIFS(Products!$I:$I,Products!$A:$A,A7)</f>
        <v>26000</v>
      </c>
      <c r="R7" s="17" t="n">
        <f aca="false">Q7*P7</f>
        <v>6500</v>
      </c>
      <c r="S7" s="11" t="s">
        <v>64</v>
      </c>
      <c r="T7" s="9" t="n">
        <v>26000</v>
      </c>
      <c r="U7" s="9" t="n">
        <v>26000</v>
      </c>
      <c r="V7" s="18" t="s">
        <v>72</v>
      </c>
      <c r="W7" s="11" t="s">
        <v>73</v>
      </c>
      <c r="X7" s="10" t="n">
        <v>46317</v>
      </c>
      <c r="Y7" s="11" t="s">
        <v>59</v>
      </c>
      <c r="Z7" s="15" t="n">
        <f aca="false">MAX(INDEX(Probability!$B$5:$F$13,MATCH(Y7,Probability!$A$5:$A$13,0),MATCH(IF(C7-$E$2&lt;0,"Overdue",IF(C7-$E$2&lt;=30,"0-30",IF(C7-$E$2&lt;=60,"31-60",IF(C7-$E$2&lt;=90,"61-90","&gt;90")))),Probability!$B$4:$F$4,0)),IF(D7="Auto",Probability!$B$23,0))*O7</f>
        <v>0.85</v>
      </c>
      <c r="AA7" s="17" t="n">
        <f aca="false">Q7*Z7</f>
        <v>22100</v>
      </c>
    </row>
    <row r="8" customFormat="false" ht="48" hidden="false" customHeight="true" outlineLevel="0" collapsed="false">
      <c r="A8" s="8" t="s">
        <v>74</v>
      </c>
      <c r="B8" s="9" t="n">
        <v>45000</v>
      </c>
      <c r="C8" s="10" t="n">
        <v>46333</v>
      </c>
      <c r="D8" s="11" t="s">
        <v>52</v>
      </c>
      <c r="E8" s="12" t="n">
        <v>-0.35</v>
      </c>
      <c r="F8" s="11" t="s">
        <v>75</v>
      </c>
      <c r="G8" s="11" t="s">
        <v>62</v>
      </c>
      <c r="H8" s="13" t="s">
        <v>76</v>
      </c>
      <c r="I8" s="14" t="n">
        <f aca="false">C8-$B$2</f>
        <v>18</v>
      </c>
      <c r="J8" s="8" t="str">
        <f aca="false">IF(I8&lt;0,"Overdue",IF(I8&lt;=30,"0-30",IF(I8&lt;=60,"31-60",IF(I8&lt;=90,"61-90","&gt;90"))))</f>
        <v>0-30</v>
      </c>
      <c r="K8" s="8" t="str">
        <f aca="false">IF(AND(I8&lt;0,G8&lt;&gt;"Closed won",G8&lt;&gt;"Cancelled"),"YES","")</f>
        <v/>
      </c>
      <c r="L8" s="14" t="str">
        <f aca="false">TEXT(C8,"yyyy-mm")</f>
        <v>2026-11</v>
      </c>
      <c r="M8" s="14" t="str">
        <f aca="false">"Q"&amp;ROUNDUP(MONTH(C8)/3,0)&amp;" "&amp;YEAR(C8)</f>
        <v>Q4 2026</v>
      </c>
      <c r="N8" s="15" t="n">
        <f aca="false">MAX(INDEX(Probability!$B$5:$F$13,MATCH(G8,Probability!$A$5:$A$13,0),MATCH(J8,Probability!$B$4:$F$4,0)),IF(AND(D8="Auto",H8=""),Probability!$B$23,0))</f>
        <v>0.1</v>
      </c>
      <c r="O8" s="16" t="n">
        <f aca="false">INDEX(Probability!$B$18:$B$20,MATCH(F8,Probability!$A$18:$A$20,0))</f>
        <v>0.6</v>
      </c>
      <c r="P8" s="15" t="n">
        <f aca="false">N8*O8</f>
        <v>0.06</v>
      </c>
      <c r="Q8" s="17" t="n">
        <f aca="false">SUMIFS(Products!$I:$I,Products!$A:$A,A8)</f>
        <v>30000</v>
      </c>
      <c r="R8" s="17" t="n">
        <f aca="false">Q8*P8</f>
        <v>1800</v>
      </c>
      <c r="S8" s="11" t="s">
        <v>56</v>
      </c>
      <c r="T8" s="9" t="n">
        <v>30000</v>
      </c>
      <c r="U8" s="9" t="n">
        <v>30000</v>
      </c>
      <c r="V8" s="18" t="s">
        <v>77</v>
      </c>
      <c r="W8" s="11" t="s">
        <v>78</v>
      </c>
      <c r="X8" s="10" t="n">
        <v>46318</v>
      </c>
      <c r="Y8" s="11" t="s">
        <v>70</v>
      </c>
      <c r="Z8" s="15" t="n">
        <f aca="false">MAX(INDEX(Probability!$B$5:$F$13,MATCH(Y8,Probability!$A$5:$A$13,0),MATCH(IF(C8-$E$2&lt;0,"Overdue",IF(C8-$E$2&lt;=30,"0-30",IF(C8-$E$2&lt;=60,"31-60",IF(C8-$E$2&lt;=90,"61-90","&gt;90")))),Probability!$B$4:$F$4,0)),IF(D8="Auto",Probability!$B$23,0))*O8</f>
        <v>0.15</v>
      </c>
      <c r="AA8" s="17" t="n">
        <f aca="false">Q8*Z8</f>
        <v>4500</v>
      </c>
    </row>
    <row r="9" customFormat="false" ht="48" hidden="false" customHeight="true" outlineLevel="0" collapsed="false">
      <c r="A9" s="8" t="s">
        <v>79</v>
      </c>
      <c r="B9" s="9" t="n">
        <v>36000</v>
      </c>
      <c r="C9" s="10" t="n">
        <v>46370</v>
      </c>
      <c r="D9" s="11" t="s">
        <v>52</v>
      </c>
      <c r="E9" s="12" t="n">
        <v>-0.1</v>
      </c>
      <c r="F9" s="11" t="s">
        <v>53</v>
      </c>
      <c r="G9" s="11" t="s">
        <v>80</v>
      </c>
      <c r="H9" s="13" t="s">
        <v>81</v>
      </c>
      <c r="I9" s="14" t="n">
        <f aca="false">C9-$B$2</f>
        <v>55</v>
      </c>
      <c r="J9" s="8" t="str">
        <f aca="false">IF(I9&lt;0,"Overdue",IF(I9&lt;=30,"0-30",IF(I9&lt;=60,"31-60",IF(I9&lt;=90,"61-90","&gt;90"))))</f>
        <v>31-60</v>
      </c>
      <c r="K9" s="8" t="str">
        <f aca="false">IF(AND(I9&lt;0,G9&lt;&gt;"Closed won",G9&lt;&gt;"Cancelled"),"YES","")</f>
        <v/>
      </c>
      <c r="L9" s="14" t="str">
        <f aca="false">TEXT(C9,"yyyy-mm")</f>
        <v>2026-12</v>
      </c>
      <c r="M9" s="14" t="str">
        <f aca="false">"Q"&amp;ROUNDUP(MONTH(C9)/3,0)&amp;" "&amp;YEAR(C9)</f>
        <v>Q4 2026</v>
      </c>
      <c r="N9" s="15" t="n">
        <f aca="false">MAX(INDEX(Probability!$B$5:$F$13,MATCH(G9,Probability!$A$5:$A$13,0),MATCH(J9,Probability!$B$4:$F$4,0)),IF(AND(D9="Auto",H9=""),Probability!$B$23,0))</f>
        <v>0.5</v>
      </c>
      <c r="O9" s="16" t="n">
        <f aca="false">INDEX(Probability!$B$18:$B$20,MATCH(F9,Probability!$A$18:$A$20,0))</f>
        <v>0.85</v>
      </c>
      <c r="P9" s="15" t="n">
        <f aca="false">N9*O9</f>
        <v>0.425</v>
      </c>
      <c r="Q9" s="17" t="n">
        <f aca="false">SUMIFS(Products!$I:$I,Products!$A:$A,A9)</f>
        <v>33264</v>
      </c>
      <c r="R9" s="17" t="n">
        <f aca="false">Q9*P9</f>
        <v>14137.2</v>
      </c>
      <c r="S9" s="11" t="s">
        <v>64</v>
      </c>
      <c r="T9" s="9" t="n">
        <v>33264</v>
      </c>
      <c r="U9" s="9" t="n">
        <v>33264</v>
      </c>
      <c r="V9" s="18" t="s">
        <v>82</v>
      </c>
      <c r="W9" s="11" t="s">
        <v>66</v>
      </c>
      <c r="X9" s="10" t="n">
        <v>46315</v>
      </c>
      <c r="Y9" s="11" t="s">
        <v>80</v>
      </c>
      <c r="Z9" s="15" t="n">
        <f aca="false">MAX(INDEX(Probability!$B$5:$F$13,MATCH(Y9,Probability!$A$5:$A$13,0),MATCH(IF(C9-$E$2&lt;0,"Overdue",IF(C9-$E$2&lt;=30,"0-30",IF(C9-$E$2&lt;=60,"31-60",IF(C9-$E$2&lt;=90,"61-90","&gt;90")))),Probability!$B$4:$F$4,0)),IF(D9="Auto",Probability!$B$23,0))*O9</f>
        <v>0.425</v>
      </c>
      <c r="AA9" s="17" t="n">
        <f aca="false">Q9*Z9</f>
        <v>14137.2</v>
      </c>
    </row>
    <row r="10" customFormat="false" ht="48" hidden="false" customHeight="true" outlineLevel="0" collapsed="false">
      <c r="A10" s="8" t="s">
        <v>83</v>
      </c>
      <c r="B10" s="9" t="n">
        <v>50000</v>
      </c>
      <c r="C10" s="10" t="n">
        <v>46344</v>
      </c>
      <c r="D10" s="11" t="s">
        <v>52</v>
      </c>
      <c r="E10" s="12" t="n">
        <v>0.05</v>
      </c>
      <c r="F10" s="11" t="s">
        <v>53</v>
      </c>
      <c r="G10" s="11" t="s">
        <v>70</v>
      </c>
      <c r="H10" s="13" t="s">
        <v>84</v>
      </c>
      <c r="I10" s="14" t="n">
        <f aca="false">C10-$B$2</f>
        <v>29</v>
      </c>
      <c r="J10" s="8" t="str">
        <f aca="false">IF(I10&lt;0,"Overdue",IF(I10&lt;=30,"0-30",IF(I10&lt;=60,"31-60",IF(I10&lt;=90,"61-90","&gt;90"))))</f>
        <v>0-30</v>
      </c>
      <c r="K10" s="8" t="str">
        <f aca="false">IF(AND(I10&lt;0,G10&lt;&gt;"Closed won",G10&lt;&gt;"Cancelled"),"YES","")</f>
        <v/>
      </c>
      <c r="L10" s="14" t="str">
        <f aca="false">TEXT(C10,"yyyy-mm")</f>
        <v>2026-11</v>
      </c>
      <c r="M10" s="14" t="str">
        <f aca="false">"Q"&amp;ROUNDUP(MONTH(C10)/3,0)&amp;" "&amp;YEAR(C10)</f>
        <v>Q4 2026</v>
      </c>
      <c r="N10" s="15" t="n">
        <f aca="false">MAX(INDEX(Probability!$B$5:$F$13,MATCH(G10,Probability!$A$5:$A$13,0),MATCH(J10,Probability!$B$4:$F$4,0)),IF(AND(D10="Auto",H10=""),Probability!$B$23,0))</f>
        <v>0.25</v>
      </c>
      <c r="O10" s="16" t="n">
        <f aca="false">INDEX(Probability!$B$18:$B$20,MATCH(F10,Probability!$A$18:$A$20,0))</f>
        <v>0.85</v>
      </c>
      <c r="P10" s="15" t="n">
        <f aca="false">N10*O10</f>
        <v>0.2125</v>
      </c>
      <c r="Q10" s="17" t="n">
        <f aca="false">SUMIFS(Products!$I:$I,Products!$A:$A,A10)</f>
        <v>52500</v>
      </c>
      <c r="R10" s="17" t="n">
        <f aca="false">Q10*P10</f>
        <v>11156.25</v>
      </c>
      <c r="S10" s="11" t="s">
        <v>56</v>
      </c>
      <c r="T10" s="9" t="n">
        <v>50000</v>
      </c>
      <c r="U10" s="9" t="n">
        <v>52500</v>
      </c>
      <c r="V10" s="18" t="s">
        <v>85</v>
      </c>
      <c r="W10" s="11" t="s">
        <v>86</v>
      </c>
      <c r="X10" s="10" t="n">
        <v>46318</v>
      </c>
      <c r="Y10" s="11" t="s">
        <v>54</v>
      </c>
      <c r="Z10" s="15" t="n">
        <f aca="false">MAX(INDEX(Probability!$B$5:$F$13,MATCH(Y10,Probability!$A$5:$A$13,0),MATCH(IF(C10-$E$2&lt;0,"Overdue",IF(C10-$E$2&lt;=30,"0-30",IF(C10-$E$2&lt;=60,"31-60",IF(C10-$E$2&lt;=90,"61-90","&gt;90")))),Probability!$B$4:$F$4,0)),IF(D10="Auto",Probability!$B$23,0))*O10</f>
        <v>0.5525</v>
      </c>
      <c r="AA10" s="17" t="n">
        <f aca="false">Q10*Z10</f>
        <v>29006.25</v>
      </c>
    </row>
    <row r="11" customFormat="false" ht="48" hidden="false" customHeight="true" outlineLevel="0" collapsed="false">
      <c r="A11" s="8" t="s">
        <v>87</v>
      </c>
      <c r="B11" s="9" t="n">
        <v>28000</v>
      </c>
      <c r="C11" s="10" t="n">
        <v>46347</v>
      </c>
      <c r="D11" s="11" t="s">
        <v>69</v>
      </c>
      <c r="E11" s="12" t="n">
        <v>0.08</v>
      </c>
      <c r="F11" s="11" t="s">
        <v>61</v>
      </c>
      <c r="G11" s="11" t="s">
        <v>70</v>
      </c>
      <c r="H11" s="13" t="s">
        <v>88</v>
      </c>
      <c r="I11" s="14" t="n">
        <f aca="false">C11-$B$2</f>
        <v>32</v>
      </c>
      <c r="J11" s="8" t="str">
        <f aca="false">IF(I11&lt;0,"Overdue",IF(I11&lt;=30,"0-30",IF(I11&lt;=60,"31-60",IF(I11&lt;=90,"61-90","&gt;90"))))</f>
        <v>31-60</v>
      </c>
      <c r="K11" s="8" t="str">
        <f aca="false">IF(AND(I11&lt;0,G11&lt;&gt;"Closed won",G11&lt;&gt;"Cancelled"),"YES","")</f>
        <v/>
      </c>
      <c r="L11" s="14" t="str">
        <f aca="false">TEXT(C11,"yyyy-mm")</f>
        <v>2026-11</v>
      </c>
      <c r="M11" s="14" t="str">
        <f aca="false">"Q"&amp;ROUNDUP(MONTH(C11)/3,0)&amp;" "&amp;YEAR(C11)</f>
        <v>Q4 2026</v>
      </c>
      <c r="N11" s="15" t="n">
        <f aca="false">MAX(INDEX(Probability!$B$5:$F$13,MATCH(G11,Probability!$A$5:$A$13,0),MATCH(J11,Probability!$B$4:$F$4,0)),IF(AND(D11="Auto",H11=""),Probability!$B$23,0))</f>
        <v>0.35</v>
      </c>
      <c r="O11" s="16" t="n">
        <f aca="false">INDEX(Probability!$B$18:$B$20,MATCH(F11,Probability!$A$18:$A$20,0))</f>
        <v>1</v>
      </c>
      <c r="P11" s="15" t="n">
        <f aca="false">N11*O11</f>
        <v>0.35</v>
      </c>
      <c r="Q11" s="17" t="n">
        <f aca="false">SUMIFS(Products!$I:$I,Products!$A:$A,A11)</f>
        <v>29400</v>
      </c>
      <c r="R11" s="17" t="n">
        <f aca="false">Q11*P11</f>
        <v>10290</v>
      </c>
      <c r="S11" s="11" t="s">
        <v>64</v>
      </c>
      <c r="T11" s="9" t="n">
        <v>28000</v>
      </c>
      <c r="U11" s="9" t="n">
        <v>29400</v>
      </c>
      <c r="V11" s="18" t="s">
        <v>89</v>
      </c>
      <c r="W11" s="11" t="s">
        <v>90</v>
      </c>
      <c r="X11" s="10" t="n">
        <v>46322</v>
      </c>
      <c r="Y11" s="11" t="s">
        <v>54</v>
      </c>
      <c r="Z11" s="15" t="n">
        <f aca="false">MAX(INDEX(Probability!$B$5:$F$13,MATCH(Y11,Probability!$A$5:$A$13,0),MATCH(IF(C11-$E$2&lt;0,"Overdue",IF(C11-$E$2&lt;=30,"0-30",IF(C11-$E$2&lt;=60,"31-60",IF(C11-$E$2&lt;=90,"61-90","&gt;90")))),Probability!$B$4:$F$4,0)),IF(D11="Auto",Probability!$B$23,0))*O11</f>
        <v>0.8</v>
      </c>
      <c r="AA11" s="17" t="n">
        <f aca="false">Q11*Z11</f>
        <v>23520</v>
      </c>
    </row>
    <row r="12" customFormat="false" ht="48" hidden="false" customHeight="true" outlineLevel="0" collapsed="false">
      <c r="A12" s="8" t="s">
        <v>91</v>
      </c>
      <c r="B12" s="9" t="n">
        <v>35000</v>
      </c>
      <c r="C12" s="10" t="n">
        <v>46354</v>
      </c>
      <c r="D12" s="11" t="s">
        <v>52</v>
      </c>
      <c r="E12" s="12" t="n">
        <v>0.4</v>
      </c>
      <c r="F12" s="11" t="s">
        <v>61</v>
      </c>
      <c r="G12" s="11" t="s">
        <v>70</v>
      </c>
      <c r="H12" s="13" t="s">
        <v>92</v>
      </c>
      <c r="I12" s="14" t="n">
        <f aca="false">C12-$B$2</f>
        <v>39</v>
      </c>
      <c r="J12" s="8" t="str">
        <f aca="false">IF(I12&lt;0,"Overdue",IF(I12&lt;=30,"0-30",IF(I12&lt;=60,"31-60",IF(I12&lt;=90,"61-90","&gt;90"))))</f>
        <v>31-60</v>
      </c>
      <c r="K12" s="8" t="str">
        <f aca="false">IF(AND(I12&lt;0,G12&lt;&gt;"Closed won",G12&lt;&gt;"Cancelled"),"YES","")</f>
        <v/>
      </c>
      <c r="L12" s="14" t="str">
        <f aca="false">TEXT(C12,"yyyy-mm")</f>
        <v>2026-11</v>
      </c>
      <c r="M12" s="14" t="str">
        <f aca="false">"Q"&amp;ROUNDUP(MONTH(C12)/3,0)&amp;" "&amp;YEAR(C12)</f>
        <v>Q4 2026</v>
      </c>
      <c r="N12" s="15" t="n">
        <f aca="false">MAX(INDEX(Probability!$B$5:$F$13,MATCH(G12,Probability!$A$5:$A$13,0),MATCH(J12,Probability!$B$4:$F$4,0)),IF(AND(D12="Auto",H12=""),Probability!$B$23,0))</f>
        <v>0.35</v>
      </c>
      <c r="O12" s="16" t="n">
        <f aca="false">INDEX(Probability!$B$18:$B$20,MATCH(F12,Probability!$A$18:$A$20,0))</f>
        <v>1</v>
      </c>
      <c r="P12" s="15" t="n">
        <f aca="false">N12*O12</f>
        <v>0.35</v>
      </c>
      <c r="Q12" s="17" t="n">
        <f aca="false">SUMIFS(Products!$I:$I,Products!$A:$A,A12)</f>
        <v>36750</v>
      </c>
      <c r="R12" s="17" t="n">
        <f aca="false">Q12*P12</f>
        <v>12862.5</v>
      </c>
      <c r="S12" s="11" t="s">
        <v>64</v>
      </c>
      <c r="T12" s="9" t="n">
        <v>35000</v>
      </c>
      <c r="U12" s="9" t="n">
        <v>36750</v>
      </c>
      <c r="V12" s="18" t="s">
        <v>93</v>
      </c>
      <c r="W12" s="11" t="s">
        <v>73</v>
      </c>
      <c r="X12" s="10" t="n">
        <v>46323</v>
      </c>
      <c r="Y12" s="11" t="s">
        <v>54</v>
      </c>
      <c r="Z12" s="15" t="n">
        <f aca="false">MAX(INDEX(Probability!$B$5:$F$13,MATCH(Y12,Probability!$A$5:$A$13,0),MATCH(IF(C12-$E$2&lt;0,"Overdue",IF(C12-$E$2&lt;=30,"0-30",IF(C12-$E$2&lt;=60,"31-60",IF(C12-$E$2&lt;=90,"61-90","&gt;90")))),Probability!$B$4:$F$4,0)),IF(D12="Auto",Probability!$B$23,0))*O12</f>
        <v>0.65</v>
      </c>
      <c r="AA12" s="17" t="n">
        <f aca="false">Q12*Z12</f>
        <v>23887.5</v>
      </c>
    </row>
    <row r="13" customFormat="false" ht="48" hidden="false" customHeight="true" outlineLevel="0" collapsed="false">
      <c r="A13" s="8" t="s">
        <v>94</v>
      </c>
      <c r="B13" s="9" t="n">
        <v>46000</v>
      </c>
      <c r="C13" s="10" t="n">
        <v>46365</v>
      </c>
      <c r="D13" s="11" t="s">
        <v>52</v>
      </c>
      <c r="E13" s="12" t="n">
        <v>0</v>
      </c>
      <c r="F13" s="11" t="s">
        <v>53</v>
      </c>
      <c r="G13" s="11" t="s">
        <v>70</v>
      </c>
      <c r="H13" s="13" t="s">
        <v>95</v>
      </c>
      <c r="I13" s="14" t="n">
        <f aca="false">C13-$B$2</f>
        <v>50</v>
      </c>
      <c r="J13" s="8" t="str">
        <f aca="false">IF(I13&lt;0,"Overdue",IF(I13&lt;=30,"0-30",IF(I13&lt;=60,"31-60",IF(I13&lt;=90,"61-90","&gt;90"))))</f>
        <v>31-60</v>
      </c>
      <c r="K13" s="8" t="str">
        <f aca="false">IF(AND(I13&lt;0,G13&lt;&gt;"Closed won",G13&lt;&gt;"Cancelled"),"YES","")</f>
        <v/>
      </c>
      <c r="L13" s="14" t="str">
        <f aca="false">TEXT(C13,"yyyy-mm")</f>
        <v>2026-12</v>
      </c>
      <c r="M13" s="14" t="str">
        <f aca="false">"Q"&amp;ROUNDUP(MONTH(C13)/3,0)&amp;" "&amp;YEAR(C13)</f>
        <v>Q4 2026</v>
      </c>
      <c r="N13" s="15" t="n">
        <f aca="false">MAX(INDEX(Probability!$B$5:$F$13,MATCH(G13,Probability!$A$5:$A$13,0),MATCH(J13,Probability!$B$4:$F$4,0)),IF(AND(D13="Auto",H13=""),Probability!$B$23,0))</f>
        <v>0.35</v>
      </c>
      <c r="O13" s="16" t="n">
        <f aca="false">INDEX(Probability!$B$18:$B$20,MATCH(F13,Probability!$A$18:$A$20,0))</f>
        <v>0.85</v>
      </c>
      <c r="P13" s="15" t="n">
        <f aca="false">N13*O13</f>
        <v>0.2975</v>
      </c>
      <c r="Q13" s="17" t="n">
        <f aca="false">SUMIFS(Products!$I:$I,Products!$A:$A,A13)</f>
        <v>48300</v>
      </c>
      <c r="R13" s="17" t="n">
        <f aca="false">Q13*P13</f>
        <v>14369.25</v>
      </c>
      <c r="S13" s="11" t="s">
        <v>64</v>
      </c>
      <c r="T13" s="9" t="n">
        <v>46000</v>
      </c>
      <c r="U13" s="9" t="n">
        <v>48300</v>
      </c>
      <c r="V13" s="18" t="s">
        <v>96</v>
      </c>
      <c r="W13" s="11" t="s">
        <v>97</v>
      </c>
      <c r="X13" s="10" t="n">
        <v>46322</v>
      </c>
      <c r="Y13" s="11" t="s">
        <v>54</v>
      </c>
      <c r="Z13" s="15" t="n">
        <f aca="false">MAX(INDEX(Probability!$B$5:$F$13,MATCH(Y13,Probability!$A$5:$A$13,0),MATCH(IF(C13-$E$2&lt;0,"Overdue",IF(C13-$E$2&lt;=30,"0-30",IF(C13-$E$2&lt;=60,"31-60",IF(C13-$E$2&lt;=90,"61-90","&gt;90")))),Probability!$B$4:$F$4,0)),IF(D13="Auto",Probability!$B$23,0))*O13</f>
        <v>0.595</v>
      </c>
      <c r="AA13" s="17" t="n">
        <f aca="false">Q13*Z13</f>
        <v>28738.5</v>
      </c>
    </row>
    <row r="14" customFormat="false" ht="48" hidden="false" customHeight="true" outlineLevel="0" collapsed="false">
      <c r="A14" s="8" t="s">
        <v>98</v>
      </c>
      <c r="B14" s="9" t="n">
        <v>40000</v>
      </c>
      <c r="C14" s="10" t="n">
        <v>46375</v>
      </c>
      <c r="D14" s="11" t="s">
        <v>69</v>
      </c>
      <c r="E14" s="12" t="n">
        <v>-0.2</v>
      </c>
      <c r="F14" s="11" t="s">
        <v>53</v>
      </c>
      <c r="G14" s="11" t="s">
        <v>62</v>
      </c>
      <c r="H14" s="13" t="s">
        <v>99</v>
      </c>
      <c r="I14" s="14" t="n">
        <f aca="false">C14-$B$2</f>
        <v>60</v>
      </c>
      <c r="J14" s="8" t="str">
        <f aca="false">IF(I14&lt;0,"Overdue",IF(I14&lt;=30,"0-30",IF(I14&lt;=60,"31-60",IF(I14&lt;=90,"61-90","&gt;90"))))</f>
        <v>31-60</v>
      </c>
      <c r="K14" s="8" t="str">
        <f aca="false">IF(AND(I14&lt;0,G14&lt;&gt;"Closed won",G14&lt;&gt;"Cancelled"),"YES","")</f>
        <v/>
      </c>
      <c r="L14" s="14" t="str">
        <f aca="false">TEXT(C14,"yyyy-mm")</f>
        <v>2026-12</v>
      </c>
      <c r="M14" s="14" t="str">
        <f aca="false">"Q"&amp;ROUNDUP(MONTH(C14)/3,0)&amp;" "&amp;YEAR(C14)</f>
        <v>Q4 2026</v>
      </c>
      <c r="N14" s="15" t="n">
        <f aca="false">MAX(INDEX(Probability!$B$5:$F$13,MATCH(G14,Probability!$A$5:$A$13,0),MATCH(J14,Probability!$B$4:$F$4,0)),IF(AND(D14="Auto",H14=""),Probability!$B$23,0))</f>
        <v>0.2</v>
      </c>
      <c r="O14" s="16" t="n">
        <f aca="false">INDEX(Probability!$B$18:$B$20,MATCH(F14,Probability!$A$18:$A$20,0))</f>
        <v>0.85</v>
      </c>
      <c r="P14" s="15" t="n">
        <f aca="false">N14*O14</f>
        <v>0.17</v>
      </c>
      <c r="Q14" s="17" t="n">
        <f aca="false">SUMIFS(Products!$I:$I,Products!$A:$A,A14)</f>
        <v>32000</v>
      </c>
      <c r="R14" s="17" t="n">
        <f aca="false">Q14*P14</f>
        <v>5440</v>
      </c>
      <c r="S14" s="11" t="s">
        <v>64</v>
      </c>
      <c r="T14" s="9" t="n">
        <v>32000</v>
      </c>
      <c r="U14" s="9" t="n">
        <v>32000</v>
      </c>
      <c r="V14" s="18" t="s">
        <v>100</v>
      </c>
      <c r="W14" s="11" t="s">
        <v>73</v>
      </c>
      <c r="X14" s="10" t="n">
        <v>46325</v>
      </c>
      <c r="Y14" s="11" t="s">
        <v>70</v>
      </c>
      <c r="Z14" s="15" t="n">
        <f aca="false">MAX(INDEX(Probability!$B$5:$F$13,MATCH(Y14,Probability!$A$5:$A$13,0),MATCH(IF(C14-$E$2&lt;0,"Overdue",IF(C14-$E$2&lt;=30,"0-30",IF(C14-$E$2&lt;=60,"31-60",IF(C14-$E$2&lt;=90,"61-90","&gt;90")))),Probability!$B$4:$F$4,0)),IF(D14="Auto",Probability!$B$23,0))*O14</f>
        <v>0.68</v>
      </c>
      <c r="AA14" s="17" t="n">
        <f aca="false">Q14*Z14</f>
        <v>21760</v>
      </c>
    </row>
    <row r="15" customFormat="false" ht="15" hidden="false" customHeight="false" outlineLevel="0" collapsed="false">
      <c r="A15" s="2" t="s">
        <v>101</v>
      </c>
      <c r="B15" s="19" t="n">
        <f aca="false">SUM(B5:B14)</f>
        <v>375000</v>
      </c>
      <c r="P15" s="20" t="n">
        <f aca="false">IFERROR(R15/Q15,0)</f>
        <v>0.247022713661469</v>
      </c>
      <c r="Q15" s="19" t="n">
        <f aca="false">SUM(Q5:Q14)</f>
        <v>360664</v>
      </c>
      <c r="R15" s="19" t="n">
        <f aca="false">SUM(R5:R14)</f>
        <v>89092.2</v>
      </c>
      <c r="T15" s="19" t="n">
        <f aca="false">SUM(T5:T14)</f>
        <v>349264</v>
      </c>
      <c r="U15" s="19" t="n">
        <f aca="false">SUM(U5:U14)</f>
        <v>360664</v>
      </c>
      <c r="AA15" s="19" t="n">
        <f aca="false">SUM(AA5:AA14)</f>
        <v>224254.95</v>
      </c>
    </row>
    <row r="18" customFormat="false" ht="15" hidden="false" customHeight="false" outlineLevel="0" collapsed="false">
      <c r="A18" s="21" t="s">
        <v>102</v>
      </c>
    </row>
    <row r="19" customFormat="false" ht="15" hidden="false" customHeight="false" outlineLevel="0" collapsed="false">
      <c r="A19" s="22" t="s">
        <v>103</v>
      </c>
      <c r="B19" s="22" t="s">
        <v>104</v>
      </c>
      <c r="C19" s="22" t="s">
        <v>105</v>
      </c>
      <c r="D19" s="22" t="s">
        <v>106</v>
      </c>
    </row>
    <row r="20" customFormat="false" ht="15" hidden="false" customHeight="false" outlineLevel="0" collapsed="false">
      <c r="A20" s="14" t="s">
        <v>64</v>
      </c>
      <c r="B20" s="17" t="n">
        <f aca="false">SUMIFS(T5:T14,S5:S14,"On time")</f>
        <v>248264</v>
      </c>
      <c r="C20" s="23" t="n">
        <f aca="false">B20/$B$15</f>
        <v>0.662037333333333</v>
      </c>
      <c r="D20" s="17" t="n">
        <f aca="false">SUMIFS(U5:U14,S5:S14,"On time")</f>
        <v>256114</v>
      </c>
    </row>
    <row r="21" customFormat="false" ht="15" hidden="false" customHeight="false" outlineLevel="0" collapsed="false">
      <c r="A21" s="14" t="s">
        <v>56</v>
      </c>
      <c r="B21" s="17" t="n">
        <f aca="false">SUMIFS(T5:T14,S5:S14,"Late")</f>
        <v>101000</v>
      </c>
      <c r="C21" s="23" t="n">
        <f aca="false">B21/$B$15</f>
        <v>0.269333333333333</v>
      </c>
      <c r="D21" s="17" t="n">
        <f aca="false">SUMIFS(U5:U14,S5:S14,"Late")</f>
        <v>104550</v>
      </c>
    </row>
    <row r="22" customFormat="false" ht="15" hidden="false" customHeight="false" outlineLevel="0" collapsed="false">
      <c r="A22" s="14" t="s">
        <v>107</v>
      </c>
      <c r="B22" s="17" t="n">
        <f aca="false">B15-T15</f>
        <v>25736</v>
      </c>
      <c r="C22" s="23" t="n">
        <f aca="false">B22/$B$15</f>
        <v>0.0686293333333333</v>
      </c>
      <c r="D22" s="14"/>
    </row>
    <row r="23" customFormat="false" ht="15" hidden="false" customHeight="false" outlineLevel="0" collapsed="false">
      <c r="A23" s="24" t="s">
        <v>101</v>
      </c>
      <c r="B23" s="17" t="n">
        <f aca="false">SUM(B20:B22)</f>
        <v>375000</v>
      </c>
      <c r="C23" s="23" t="n">
        <f aca="false">B23/$B$15</f>
        <v>1</v>
      </c>
      <c r="D23" s="17" t="n">
        <f aca="false">SUM(D20:D21)</f>
        <v>360664</v>
      </c>
    </row>
    <row r="24" customFormat="false" ht="15" hidden="false" customHeight="false" outlineLevel="0" collapsed="false">
      <c r="A24" s="14" t="s">
        <v>108</v>
      </c>
      <c r="B24" s="23" t="n">
        <f aca="false">T15/B15</f>
        <v>0.931370666666667</v>
      </c>
      <c r="C24" s="14"/>
      <c r="D24" s="14"/>
    </row>
    <row r="25" customFormat="false" ht="15" hidden="false" customHeight="false" outlineLevel="0" collapsed="false">
      <c r="A25" s="14" t="s">
        <v>109</v>
      </c>
      <c r="B25" s="23" t="n">
        <f aca="false">U15/B15</f>
        <v>0.961770666666667</v>
      </c>
      <c r="C25" s="14"/>
      <c r="D25" s="14"/>
    </row>
    <row r="26" customFormat="false" ht="15" hidden="false" customHeight="false" outlineLevel="0" collapsed="false">
      <c r="A26" s="14" t="s">
        <v>110</v>
      </c>
      <c r="B26" s="17" t="n">
        <f aca="false">R15</f>
        <v>89092.2</v>
      </c>
      <c r="C26" s="14"/>
      <c r="D26" s="14"/>
    </row>
    <row r="27" customFormat="false" ht="15" hidden="false" customHeight="false" outlineLevel="0" collapsed="false">
      <c r="A27" s="14" t="s">
        <v>111</v>
      </c>
      <c r="B27" s="17" t="n">
        <f aca="false">AA15</f>
        <v>224254.95</v>
      </c>
      <c r="C27" s="14"/>
      <c r="D27" s="14"/>
    </row>
    <row r="28" customFormat="false" ht="15" hidden="false" customHeight="false" outlineLevel="0" collapsed="false">
      <c r="A28" s="6" t="s">
        <v>112</v>
      </c>
    </row>
    <row r="29" customFormat="false" ht="15" hidden="false" customHeight="false" outlineLevel="0" collapsed="false">
      <c r="A29" s="6" t="s">
        <v>113</v>
      </c>
    </row>
  </sheetData>
  <conditionalFormatting sqref="K5:K14">
    <cfRule type="expression" priority="2" aboveAverage="0" equalAverage="0" bottom="0" percent="0" rank="0" text="" dxfId="0">
      <formula>K5="YES"</formula>
    </cfRule>
  </conditionalFormatting>
  <conditionalFormatting sqref="J5:J14">
    <cfRule type="expression" priority="3" aboveAverage="0" equalAverage="0" bottom="0" percent="0" rank="0" text="" dxfId="1">
      <formula>J5="0-30"</formula>
    </cfRule>
  </conditionalFormatting>
  <conditionalFormatting sqref="F5:F14">
    <cfRule type="expression" priority="4" aboveAverage="0" equalAverage="0" bottom="0" percent="0" rank="0" text="" dxfId="2">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2">
      <formula>0.4</formula>
    </cfRule>
    <cfRule type="cellIs" priority="7" operator="greaterThanOrEqual" aboveAverage="0" equalAverage="0" bottom="0" percent="0" rank="0" text="" dxfId="3">
      <formula>0.8</formula>
    </cfRule>
  </conditionalFormatting>
  <conditionalFormatting sqref="S5:S14">
    <cfRule type="expression" priority="8" aboveAverage="0" equalAverage="0" bottom="0" percent="0" rank="0" text="" dxfId="1">
      <formula>S5="Late"</formula>
    </cfRule>
    <cfRule type="expression" priority="9" aboveAverage="0" equalAverage="0" bottom="0" percent="0" rank="0" text="" dxfId="2">
      <formula>S5="Lost"</formula>
    </cfRule>
  </conditionalFormatting>
  <conditionalFormatting sqref="A5:A14">
    <cfRule type="expression" priority="10" aboveAverage="0" equalAverage="0" bottom="0" percent="0" rank="0" text="" dxfId="1">
      <formula>AND($D5="Manual",$I5&lt;=60,OR($G5="Not started",$G5="Engaging customer",$G5="--None--"))</formula>
    </cfRule>
  </conditionalFormatting>
  <dataValidations count="4">
    <dataValidation allowBlank="false" errorStyle="stop" operator="between" showDropDown="false" showErrorMessage="false" showInputMessage="false" sqref="G5:G14" type="list">
      <formula1>Probability!$A$5:$A$13</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S5:S14" type="list">
      <formula1>"On time,Late,Lost"</formula1>
      <formula2>0</formula2>
    </dataValidation>
    <dataValidation allowBlank="false" errorStyle="stop" operator="between" showDropDown="false" showErrorMessage="false" showInputMessage="false" sqref="D5:D14" type="list">
      <formula1>"Manual,Auto"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12"/>
    <col collapsed="false" customWidth="true" hidden="false" outlineLevel="0" max="4" min="4" style="0" width="8"/>
    <col collapsed="false" customWidth="true" hidden="false" outlineLevel="0" max="6" min="5" style="0" width="13"/>
    <col collapsed="false" customWidth="true" hidden="false" outlineLevel="0" max="7" min="7" style="0" width="9"/>
    <col collapsed="false" customWidth="true" hidden="false" outlineLevel="0" max="8" min="8" style="0" width="10"/>
    <col collapsed="false" customWidth="true" hidden="false" outlineLevel="0" max="10" min="9" style="0" width="13"/>
    <col collapsed="false" customWidth="true" hidden="false" outlineLevel="0" max="11" min="11" style="0" width="8"/>
    <col collapsed="false" customWidth="true" hidden="false" outlineLevel="0" max="12" min="12" style="0" width="14"/>
    <col collapsed="false" customWidth="true" hidden="false" outlineLevel="0" max="13" min="13" style="0" width="22"/>
    <col collapsed="false" customWidth="true" hidden="false" outlineLevel="0" max="14" min="14" style="0" width="50"/>
  </cols>
  <sheetData>
    <row r="1" customFormat="false" ht="16.15" hidden="false" customHeight="false" outlineLevel="0" collapsed="false">
      <c r="A1" s="4" t="s">
        <v>114</v>
      </c>
    </row>
    <row r="2" customFormat="false" ht="30" hidden="false" customHeight="true" outlineLevel="0" collapsed="false">
      <c r="A2" s="25" t="s">
        <v>115</v>
      </c>
      <c r="B2" s="25"/>
      <c r="C2" s="25"/>
      <c r="D2" s="25"/>
      <c r="E2" s="25"/>
      <c r="F2" s="25"/>
      <c r="G2" s="25"/>
      <c r="H2" s="25"/>
      <c r="I2" s="25"/>
      <c r="J2" s="25"/>
      <c r="K2" s="25"/>
      <c r="L2" s="25"/>
      <c r="M2" s="25"/>
      <c r="N2" s="25"/>
    </row>
    <row r="4" customFormat="false" ht="31.5" hidden="false" customHeight="true" outlineLevel="0" collapsed="false">
      <c r="A4" s="7" t="s">
        <v>116</v>
      </c>
      <c r="B4" s="7" t="s">
        <v>117</v>
      </c>
      <c r="C4" s="7" t="s">
        <v>118</v>
      </c>
      <c r="D4" s="7" t="s">
        <v>119</v>
      </c>
      <c r="E4" s="7" t="s">
        <v>120</v>
      </c>
      <c r="F4" s="7" t="s">
        <v>121</v>
      </c>
      <c r="G4" s="7" t="s">
        <v>122</v>
      </c>
      <c r="H4" s="7" t="s">
        <v>123</v>
      </c>
      <c r="I4" s="7" t="s">
        <v>124</v>
      </c>
      <c r="J4" s="7" t="s">
        <v>125</v>
      </c>
      <c r="K4" s="7" t="s">
        <v>126</v>
      </c>
      <c r="L4" s="7" t="s">
        <v>127</v>
      </c>
      <c r="M4" s="7" t="s">
        <v>128</v>
      </c>
      <c r="N4" s="7" t="s">
        <v>129</v>
      </c>
    </row>
    <row r="5" customFormat="false" ht="15" hidden="false" customHeight="false" outlineLevel="0" collapsed="false">
      <c r="A5" s="14" t="s">
        <v>51</v>
      </c>
      <c r="B5" s="14" t="s">
        <v>130</v>
      </c>
      <c r="C5" s="11" t="s">
        <v>131</v>
      </c>
      <c r="D5" s="11" t="n">
        <v>1</v>
      </c>
      <c r="E5" s="9" t="n">
        <v>21000</v>
      </c>
      <c r="F5" s="9" t="n">
        <v>0</v>
      </c>
      <c r="G5" s="12" t="n">
        <v>0.05</v>
      </c>
      <c r="H5" s="12" t="n">
        <v>0</v>
      </c>
      <c r="I5" s="17" t="n">
        <f aca="false">L5*(1-H5)</f>
        <v>22050</v>
      </c>
      <c r="J5" s="17" t="n">
        <f aca="false">I5-E5</f>
        <v>1050</v>
      </c>
      <c r="K5" s="15" t="n">
        <f aca="false">IF(E5=0,"new",J5/E5)</f>
        <v>0.05</v>
      </c>
      <c r="L5" s="17" t="n">
        <f aca="false">IF(C5="Churn",0,E5*(1+G5)+F5)</f>
        <v>22050</v>
      </c>
      <c r="M5" s="8" t="str">
        <f aca="false">IF(H5=0,IF(AND(G5=0,C5="Renewal",D5=1),"Finance (uplift waived)","None"),IF(AND(D5&gt;=2,H5&lt;=0.05),"None (multi-year)",IF(H5&lt;=0.12,"Finance","VP Customer Success")))</f>
        <v>None</v>
      </c>
      <c r="N5" s="14" t="s">
        <v>132</v>
      </c>
    </row>
    <row r="6" customFormat="false" ht="15" hidden="false" customHeight="false" outlineLevel="0" collapsed="false">
      <c r="A6" s="14" t="s">
        <v>60</v>
      </c>
      <c r="B6" s="14" t="s">
        <v>133</v>
      </c>
      <c r="C6" s="11" t="s">
        <v>131</v>
      </c>
      <c r="D6" s="11" t="n">
        <v>1</v>
      </c>
      <c r="E6" s="9" t="n">
        <v>48000</v>
      </c>
      <c r="F6" s="9" t="n">
        <v>0</v>
      </c>
      <c r="G6" s="12" t="n">
        <v>0.05</v>
      </c>
      <c r="H6" s="12" t="n">
        <v>0</v>
      </c>
      <c r="I6" s="17" t="n">
        <f aca="false">L6*(1-H6)</f>
        <v>50400</v>
      </c>
      <c r="J6" s="17" t="n">
        <f aca="false">I6-E6</f>
        <v>2400</v>
      </c>
      <c r="K6" s="15" t="n">
        <f aca="false">IF(E6=0,"new",J6/E6)</f>
        <v>0.05</v>
      </c>
      <c r="L6" s="17" t="n">
        <f aca="false">IF(C6="Churn",0,E6*(1+G6)+F6)</f>
        <v>50400</v>
      </c>
      <c r="M6" s="8" t="str">
        <f aca="false">IF(H6=0,IF(AND(G6=0,C6="Renewal",D6=1),"Finance (uplift waived)","None"),IF(AND(D6&gt;=2,H6&lt;=0.05),"None (multi-year)",IF(H6&lt;=0.12,"Finance","VP Customer Success")))</f>
        <v>None</v>
      </c>
      <c r="N6" s="14" t="s">
        <v>134</v>
      </c>
    </row>
    <row r="7" customFormat="false" ht="15" hidden="false" customHeight="false" outlineLevel="0" collapsed="false">
      <c r="A7" s="14" t="s">
        <v>68</v>
      </c>
      <c r="B7" s="14" t="s">
        <v>130</v>
      </c>
      <c r="C7" s="11" t="s">
        <v>131</v>
      </c>
      <c r="D7" s="11" t="n">
        <v>1</v>
      </c>
      <c r="E7" s="9" t="n">
        <v>26000</v>
      </c>
      <c r="F7" s="9" t="n">
        <v>0</v>
      </c>
      <c r="G7" s="12" t="n">
        <v>0</v>
      </c>
      <c r="H7" s="12" t="n">
        <v>0</v>
      </c>
      <c r="I7" s="17" t="n">
        <f aca="false">L7*(1-H7)</f>
        <v>26000</v>
      </c>
      <c r="J7" s="17" t="n">
        <f aca="false">I7-E7</f>
        <v>0</v>
      </c>
      <c r="K7" s="15" t="n">
        <f aca="false">IF(E7=0,"new",J7/E7)</f>
        <v>0</v>
      </c>
      <c r="L7" s="17" t="n">
        <f aca="false">IF(C7="Churn",0,E7*(1+G7)+F7)</f>
        <v>26000</v>
      </c>
      <c r="M7" s="8" t="str">
        <f aca="false">IF(H7=0,IF(AND(G7=0,C7="Renewal",D7=1),"Finance (uplift waived)","None"),IF(AND(D7&gt;=2,H7&lt;=0.05),"None (multi-year)",IF(H7&lt;=0.12,"Finance","VP Customer Success")))</f>
        <v>Finance (uplift waived)</v>
      </c>
      <c r="N7" s="14" t="s">
        <v>135</v>
      </c>
    </row>
    <row r="8" customFormat="false" ht="15" hidden="false" customHeight="false" outlineLevel="0" collapsed="false">
      <c r="A8" s="14" t="s">
        <v>74</v>
      </c>
      <c r="B8" s="14" t="s">
        <v>133</v>
      </c>
      <c r="C8" s="11" t="s">
        <v>136</v>
      </c>
      <c r="D8" s="11" t="n">
        <v>1</v>
      </c>
      <c r="E8" s="9" t="n">
        <v>45000</v>
      </c>
      <c r="F8" s="9" t="n">
        <v>-15000</v>
      </c>
      <c r="G8" s="12" t="n">
        <v>0</v>
      </c>
      <c r="H8" s="12" t="n">
        <v>0</v>
      </c>
      <c r="I8" s="17" t="n">
        <f aca="false">L8*(1-H8)</f>
        <v>30000</v>
      </c>
      <c r="J8" s="17" t="n">
        <f aca="false">I8-E8</f>
        <v>-15000</v>
      </c>
      <c r="K8" s="15" t="n">
        <f aca="false">IF(E8=0,"new",J8/E8)</f>
        <v>-0.333333333333333</v>
      </c>
      <c r="L8" s="17" t="n">
        <f aca="false">IF(C8="Churn",0,E8*(1+G8)+F8)</f>
        <v>30000</v>
      </c>
      <c r="M8" s="8" t="str">
        <f aca="false">IF(H8=0,IF(AND(G8=0,C8="Renewal",D8=1),"Finance (uplift waived)","None"),IF(AND(D8&gt;=2,H8&lt;=0.05),"None (multi-year)",IF(H8&lt;=0.12,"Finance","VP Customer Success")))</f>
        <v>None</v>
      </c>
      <c r="N8" s="14" t="s">
        <v>137</v>
      </c>
    </row>
    <row r="9" customFormat="false" ht="15" hidden="false" customHeight="false" outlineLevel="0" collapsed="false">
      <c r="A9" s="14" t="s">
        <v>79</v>
      </c>
      <c r="B9" s="14" t="s">
        <v>138</v>
      </c>
      <c r="C9" s="11" t="s">
        <v>131</v>
      </c>
      <c r="D9" s="11" t="n">
        <v>2</v>
      </c>
      <c r="E9" s="9" t="n">
        <v>36000</v>
      </c>
      <c r="F9" s="9" t="n">
        <v>0</v>
      </c>
      <c r="G9" s="12" t="n">
        <v>0.05</v>
      </c>
      <c r="H9" s="12" t="n">
        <v>0.12</v>
      </c>
      <c r="I9" s="17" t="n">
        <f aca="false">L9*(1-H9)</f>
        <v>33264</v>
      </c>
      <c r="J9" s="17" t="n">
        <f aca="false">I9-E9</f>
        <v>-2736</v>
      </c>
      <c r="K9" s="15" t="n">
        <f aca="false">IF(E9=0,"new",J9/E9)</f>
        <v>-0.076</v>
      </c>
      <c r="L9" s="17" t="n">
        <f aca="false">IF(C9="Churn",0,E9*(1+G9)+F9)</f>
        <v>37800</v>
      </c>
      <c r="M9" s="8" t="str">
        <f aca="false">IF(H9=0,IF(AND(G9=0,C9="Renewal",D9=1),"Finance (uplift waived)","None"),IF(AND(D9&gt;=2,H9&lt;=0.05),"None (multi-year)",IF(H9&lt;=0.12,"Finance","VP Customer Success")))</f>
        <v>Finance</v>
      </c>
      <c r="N9" s="14" t="s">
        <v>139</v>
      </c>
    </row>
    <row r="10" customFormat="false" ht="15" hidden="false" customHeight="false" outlineLevel="0" collapsed="false">
      <c r="A10" s="14" t="s">
        <v>83</v>
      </c>
      <c r="B10" s="14" t="s">
        <v>133</v>
      </c>
      <c r="C10" s="11" t="s">
        <v>131</v>
      </c>
      <c r="D10" s="11" t="n">
        <v>1</v>
      </c>
      <c r="E10" s="9" t="n">
        <v>50000</v>
      </c>
      <c r="F10" s="9" t="n">
        <v>0</v>
      </c>
      <c r="G10" s="12" t="n">
        <v>0.05</v>
      </c>
      <c r="H10" s="12" t="n">
        <v>0</v>
      </c>
      <c r="I10" s="17" t="n">
        <f aca="false">L10*(1-H10)</f>
        <v>52500</v>
      </c>
      <c r="J10" s="17" t="n">
        <f aca="false">I10-E10</f>
        <v>2500</v>
      </c>
      <c r="K10" s="15" t="n">
        <f aca="false">IF(E10=0,"new",J10/E10)</f>
        <v>0.05</v>
      </c>
      <c r="L10" s="17" t="n">
        <f aca="false">IF(C10="Churn",0,E10*(1+G10)+F10)</f>
        <v>52500</v>
      </c>
      <c r="M10" s="8" t="str">
        <f aca="false">IF(H10=0,IF(AND(G10=0,C10="Renewal",D10=1),"Finance (uplift waived)","None"),IF(AND(D10&gt;=2,H10&lt;=0.05),"None (multi-year)",IF(H10&lt;=0.12,"Finance","VP Customer Success")))</f>
        <v>None</v>
      </c>
      <c r="N10" s="14"/>
    </row>
    <row r="11" customFormat="false" ht="15" hidden="false" customHeight="false" outlineLevel="0" collapsed="false">
      <c r="A11" s="14" t="s">
        <v>87</v>
      </c>
      <c r="B11" s="14" t="s">
        <v>130</v>
      </c>
      <c r="C11" s="11" t="s">
        <v>131</v>
      </c>
      <c r="D11" s="11" t="n">
        <v>1</v>
      </c>
      <c r="E11" s="9" t="n">
        <v>28000</v>
      </c>
      <c r="F11" s="9" t="n">
        <v>0</v>
      </c>
      <c r="G11" s="12" t="n">
        <v>0.05</v>
      </c>
      <c r="H11" s="12" t="n">
        <v>0</v>
      </c>
      <c r="I11" s="17" t="n">
        <f aca="false">L11*(1-H11)</f>
        <v>29400</v>
      </c>
      <c r="J11" s="17" t="n">
        <f aca="false">I11-E11</f>
        <v>1400</v>
      </c>
      <c r="K11" s="15" t="n">
        <f aca="false">IF(E11=0,"new",J11/E11)</f>
        <v>0.05</v>
      </c>
      <c r="L11" s="17" t="n">
        <f aca="false">IF(C11="Churn",0,E11*(1+G11)+F11)</f>
        <v>29400</v>
      </c>
      <c r="M11" s="8" t="str">
        <f aca="false">IF(H11=0,IF(AND(G11=0,C11="Renewal",D11=1),"Finance (uplift waived)","None"),IF(AND(D11&gt;=2,H11&lt;=0.05),"None (multi-year)",IF(H11&lt;=0.12,"Finance","VP Customer Success")))</f>
        <v>None</v>
      </c>
      <c r="N11" s="14" t="s">
        <v>140</v>
      </c>
    </row>
    <row r="12" customFormat="false" ht="15" hidden="false" customHeight="false" outlineLevel="0" collapsed="false">
      <c r="A12" s="14" t="s">
        <v>91</v>
      </c>
      <c r="B12" s="14" t="s">
        <v>130</v>
      </c>
      <c r="C12" s="11" t="s">
        <v>131</v>
      </c>
      <c r="D12" s="11" t="n">
        <v>1</v>
      </c>
      <c r="E12" s="9" t="n">
        <v>35000</v>
      </c>
      <c r="F12" s="9" t="n">
        <v>0</v>
      </c>
      <c r="G12" s="12" t="n">
        <v>0.05</v>
      </c>
      <c r="H12" s="12" t="n">
        <v>0</v>
      </c>
      <c r="I12" s="17" t="n">
        <f aca="false">L12*(1-H12)</f>
        <v>36750</v>
      </c>
      <c r="J12" s="17" t="n">
        <f aca="false">I12-E12</f>
        <v>1750</v>
      </c>
      <c r="K12" s="15" t="n">
        <f aca="false">IF(E12=0,"new",J12/E12)</f>
        <v>0.05</v>
      </c>
      <c r="L12" s="17" t="n">
        <f aca="false">IF(C12="Churn",0,E12*(1+G12)+F12)</f>
        <v>36750</v>
      </c>
      <c r="M12" s="8" t="str">
        <f aca="false">IF(H12=0,IF(AND(G12=0,C12="Renewal",D12=1),"Finance (uplift waived)","None"),IF(AND(D12&gt;=2,H12&lt;=0.05),"None (multi-year)",IF(H12&lt;=0.12,"Finance","VP Customer Success")))</f>
        <v>None</v>
      </c>
      <c r="N12" s="14" t="s">
        <v>141</v>
      </c>
    </row>
    <row r="13" customFormat="false" ht="15" hidden="false" customHeight="false" outlineLevel="0" collapsed="false">
      <c r="A13" s="14" t="s">
        <v>91</v>
      </c>
      <c r="B13" s="14" t="s">
        <v>142</v>
      </c>
      <c r="C13" s="11" t="s">
        <v>143</v>
      </c>
      <c r="D13" s="11" t="n">
        <v>1</v>
      </c>
      <c r="E13" s="9" t="n">
        <v>0</v>
      </c>
      <c r="F13" s="9" t="n">
        <v>0</v>
      </c>
      <c r="G13" s="12" t="n">
        <v>0</v>
      </c>
      <c r="H13" s="12" t="n">
        <v>0</v>
      </c>
      <c r="I13" s="17" t="n">
        <f aca="false">L13*(1-H13)</f>
        <v>0</v>
      </c>
      <c r="J13" s="17" t="n">
        <f aca="false">I13-E13</f>
        <v>0</v>
      </c>
      <c r="K13" s="15" t="str">
        <f aca="false">IF(E13=0,"new",J13/E13)</f>
        <v>new</v>
      </c>
      <c r="L13" s="17" t="n">
        <f aca="false">IF(C13="Churn",0,E13*(1+G13)+F13)</f>
        <v>0</v>
      </c>
      <c r="M13" s="8" t="str">
        <f aca="false">IF(H13=0,IF(AND(G13=0,C13="Renewal",D13=1),"Finance (uplift waived)","None"),IF(AND(D13&gt;=2,H13&lt;=0.05),"None (multi-year)",IF(H13&lt;=0.12,"Finance","VP Customer Success")))</f>
        <v>None</v>
      </c>
      <c r="N13" s="14" t="s">
        <v>144</v>
      </c>
    </row>
    <row r="14" customFormat="false" ht="15" hidden="false" customHeight="false" outlineLevel="0" collapsed="false">
      <c r="A14" s="14" t="s">
        <v>94</v>
      </c>
      <c r="B14" s="14" t="s">
        <v>133</v>
      </c>
      <c r="C14" s="11" t="s">
        <v>131</v>
      </c>
      <c r="D14" s="11" t="n">
        <v>1</v>
      </c>
      <c r="E14" s="9" t="n">
        <v>46000</v>
      </c>
      <c r="F14" s="9" t="n">
        <v>0</v>
      </c>
      <c r="G14" s="12" t="n">
        <v>0.05</v>
      </c>
      <c r="H14" s="12" t="n">
        <v>0</v>
      </c>
      <c r="I14" s="17" t="n">
        <f aca="false">L14*(1-H14)</f>
        <v>48300</v>
      </c>
      <c r="J14" s="17" t="n">
        <f aca="false">I14-E14</f>
        <v>2300</v>
      </c>
      <c r="K14" s="15" t="n">
        <f aca="false">IF(E14=0,"new",J14/E14)</f>
        <v>0.05</v>
      </c>
      <c r="L14" s="17" t="n">
        <f aca="false">IF(C14="Churn",0,E14*(1+G14)+F14)</f>
        <v>48300</v>
      </c>
      <c r="M14" s="8" t="str">
        <f aca="false">IF(H14=0,IF(AND(G14=0,C14="Renewal",D14=1),"Finance (uplift waived)","None"),IF(AND(D14&gt;=2,H14&lt;=0.05),"None (multi-year)",IF(H14&lt;=0.12,"Finance","VP Customer Success")))</f>
        <v>None</v>
      </c>
      <c r="N14" s="14"/>
    </row>
    <row r="15" customFormat="false" ht="15" hidden="false" customHeight="false" outlineLevel="0" collapsed="false">
      <c r="A15" s="14" t="s">
        <v>98</v>
      </c>
      <c r="B15" s="14" t="s">
        <v>133</v>
      </c>
      <c r="C15" s="11" t="s">
        <v>136</v>
      </c>
      <c r="D15" s="11" t="n">
        <v>1</v>
      </c>
      <c r="E15" s="9" t="n">
        <v>40000</v>
      </c>
      <c r="F15" s="9" t="n">
        <v>-8000</v>
      </c>
      <c r="G15" s="12" t="n">
        <v>0</v>
      </c>
      <c r="H15" s="12" t="n">
        <v>0</v>
      </c>
      <c r="I15" s="17" t="n">
        <f aca="false">L15*(1-H15)</f>
        <v>32000</v>
      </c>
      <c r="J15" s="17" t="n">
        <f aca="false">I15-E15</f>
        <v>-8000</v>
      </c>
      <c r="K15" s="15" t="n">
        <f aca="false">IF(E15=0,"new",J15/E15)</f>
        <v>-0.2</v>
      </c>
      <c r="L15" s="17" t="n">
        <f aca="false">IF(C15="Churn",0,E15*(1+G15)+F15)</f>
        <v>32000</v>
      </c>
      <c r="M15" s="8" t="str">
        <f aca="false">IF(H15=0,IF(AND(G15=0,C15="Renewal",D15=1),"Finance (uplift waived)","None"),IF(AND(D15&gt;=2,H15&lt;=0.05),"None (multi-year)",IF(H15&lt;=0.12,"Finance","VP Customer Success")))</f>
        <v>None</v>
      </c>
      <c r="N15" s="14" t="s">
        <v>145</v>
      </c>
    </row>
    <row r="17" customFormat="false" ht="15" hidden="false" customHeight="false" outlineLevel="0" collapsed="false">
      <c r="A17" s="2" t="s">
        <v>101</v>
      </c>
      <c r="E17" s="19" t="n">
        <f aca="false">SUM(E5:E15)</f>
        <v>375000</v>
      </c>
      <c r="F17" s="19" t="n">
        <f aca="false">SUM(F5:F15)</f>
        <v>-23000</v>
      </c>
      <c r="I17" s="19" t="n">
        <f aca="false">SUM(I5:I15)</f>
        <v>360664</v>
      </c>
      <c r="J17" s="19" t="n">
        <f aca="false">SUM(J5:J15)</f>
        <v>-14336</v>
      </c>
      <c r="L17" s="19" t="n">
        <f aca="false">SUM(L5:L15)</f>
        <v>365200</v>
      </c>
    </row>
    <row r="19" customFormat="false" ht="15" hidden="false" customHeight="false" outlineLevel="0" collapsed="false">
      <c r="A19" s="2" t="s">
        <v>146</v>
      </c>
    </row>
    <row r="20" customFormat="false" ht="43.5" hidden="false" customHeight="true" outlineLevel="0" collapsed="false">
      <c r="A20" s="25" t="s">
        <v>147</v>
      </c>
      <c r="B20" s="25"/>
      <c r="C20" s="25"/>
      <c r="D20" s="25"/>
      <c r="E20" s="25"/>
      <c r="F20" s="25"/>
      <c r="G20" s="25"/>
      <c r="H20" s="25"/>
      <c r="I20" s="25"/>
      <c r="J20" s="25"/>
      <c r="K20" s="25"/>
      <c r="L20" s="25"/>
      <c r="M20" s="25"/>
      <c r="N20" s="25"/>
    </row>
  </sheetData>
  <mergeCells count="2">
    <mergeCell ref="A2:N2"/>
    <mergeCell ref="A20:N20"/>
  </mergeCells>
  <conditionalFormatting sqref="J5:K55">
    <cfRule type="expression" priority="2" aboveAverage="0" equalAverage="0" bottom="0" percent="0" rank="0" text="" dxfId="4">
      <formula>AND(ISNUMBER(J5),J5&gt;0)</formula>
    </cfRule>
    <cfRule type="expression" priority="3" aboveAverage="0" equalAverage="0" bottom="0" percent="0" rank="0" text="" dxfId="0">
      <formula>AND(ISNUMBER(J5),J5&lt;0)</formula>
    </cfRule>
  </conditionalFormatting>
  <conditionalFormatting sqref="M5:M55">
    <cfRule type="expression" priority="4" aboveAverage="0" equalAverage="0" bottom="0" percent="0" rank="0" text="" dxfId="1">
      <formula>LEFT(M5,4)&lt;&gt;"None"</formula>
    </cfRule>
  </conditionalFormatting>
  <dataValidations count="1">
    <dataValidation allowBlank="false" errorStyle="stop" operator="between" showDropDown="false" showErrorMessage="false" showInputMessage="false" sqref="C5:C55" type="list">
      <formula1>"Renewal,Upsell,Downgrade,Cross-sell,Churn"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4"/>
    <col collapsed="false" customWidth="true" hidden="false" outlineLevel="0" max="5" min="5" style="0" width="13"/>
    <col collapsed="false" customWidth="true" hidden="false" outlineLevel="0" max="7" min="6" style="0" width="12"/>
    <col collapsed="false" customWidth="true" hidden="false" outlineLevel="0" max="9" min="8" style="0" width="13"/>
    <col collapsed="false" customWidth="true" hidden="false" outlineLevel="0" max="10" min="10" style="0" width="11"/>
    <col collapsed="false" customWidth="true" hidden="false" outlineLevel="0" max="11" min="11" style="0" width="14"/>
  </cols>
  <sheetData>
    <row r="1" customFormat="false" ht="16.15" hidden="false" customHeight="false" outlineLevel="0" collapsed="false">
      <c r="A1" s="4" t="s">
        <v>148</v>
      </c>
    </row>
    <row r="3" customFormat="false" ht="31.5" hidden="false" customHeight="true" outlineLevel="0" collapsed="false">
      <c r="A3" s="7" t="s">
        <v>116</v>
      </c>
      <c r="B3" s="7" t="s">
        <v>120</v>
      </c>
      <c r="C3" s="7" t="s">
        <v>149</v>
      </c>
      <c r="D3" s="7" t="s">
        <v>150</v>
      </c>
      <c r="E3" s="7" t="s">
        <v>151</v>
      </c>
      <c r="F3" s="7" t="s">
        <v>152</v>
      </c>
      <c r="G3" s="7" t="s">
        <v>153</v>
      </c>
      <c r="H3" s="7" t="s">
        <v>124</v>
      </c>
      <c r="I3" s="7" t="s">
        <v>154</v>
      </c>
      <c r="J3" s="7" t="s">
        <v>155</v>
      </c>
      <c r="K3" s="7" t="s">
        <v>156</v>
      </c>
    </row>
    <row r="4" customFormat="false" ht="15" hidden="false" customHeight="false" outlineLevel="0" collapsed="false">
      <c r="A4" s="26" t="str">
        <f aca="false">Pipeline!A5</f>
        <v>Vantage Freight</v>
      </c>
      <c r="B4" s="17" t="n">
        <f aca="false">SUMIFS(Products!$E:$E,Products!$A:$A,$A4)</f>
        <v>21000</v>
      </c>
      <c r="C4" s="17" t="n">
        <f aca="false">SUMPRODUCT((Products!$A$5:$A$200=$A4)*Products!$E$5:$E$200*Products!$G$5:$G$200)</f>
        <v>1050</v>
      </c>
      <c r="D4" s="17" t="n">
        <f aca="false">SUMIFS(Products!$F:$F,Products!$A:$A,$A4,Products!$C:$C,"Upsell")+SUMIFS(Products!$F:$F,Products!$A:$A,$A4,Products!$C:$C,"Cross-sell")</f>
        <v>0</v>
      </c>
      <c r="E4" s="17" t="n">
        <f aca="false">SUMIFS(Products!$F:$F,Products!$A:$A,$A4,Products!$C:$C,"Downgrade")</f>
        <v>0</v>
      </c>
      <c r="F4" s="17" t="n">
        <f aca="false">-SUMIFS(Products!$E:$E,Products!$A:$A,$A4,Products!$C:$C,"Churn")</f>
        <v>-0</v>
      </c>
      <c r="G4" s="17" t="n">
        <f aca="false">-(SUMIFS(Products!$L:$L,Products!$A:$A,$A4)-SUMIFS(Products!$I:$I,Products!$A:$A,$A4))</f>
        <v>-0</v>
      </c>
      <c r="H4" s="17" t="n">
        <f aca="false">SUMIFS(Products!$I:$I,Products!$A:$A,$A4)</f>
        <v>22050</v>
      </c>
      <c r="I4" s="17" t="n">
        <f aca="false">H4-B4</f>
        <v>1050</v>
      </c>
      <c r="J4" s="15" t="n">
        <f aca="false">IF(B4=0,0,I4/B4)</f>
        <v>0.05</v>
      </c>
      <c r="K4" s="17" t="n">
        <f aca="false">B4+E4+F4+MIN(0,C4+G4)</f>
        <v>21000</v>
      </c>
    </row>
    <row r="5" customFormat="false" ht="15" hidden="false" customHeight="false" outlineLevel="0" collapsed="false">
      <c r="A5" s="26" t="str">
        <f aca="false">Pipeline!A6</f>
        <v>Northwind Logistics</v>
      </c>
      <c r="B5" s="17" t="n">
        <f aca="false">SUMIFS(Products!$E:$E,Products!$A:$A,$A5)</f>
        <v>48000</v>
      </c>
      <c r="C5" s="17" t="n">
        <f aca="false">SUMPRODUCT((Products!$A$5:$A$200=$A5)*Products!$E$5:$E$200*Products!$G$5:$G$200)</f>
        <v>2400</v>
      </c>
      <c r="D5" s="17" t="n">
        <f aca="false">SUMIFS(Products!$F:$F,Products!$A:$A,$A5,Products!$C:$C,"Upsell")+SUMIFS(Products!$F:$F,Products!$A:$A,$A5,Products!$C:$C,"Cross-sell")</f>
        <v>0</v>
      </c>
      <c r="E5" s="17" t="n">
        <f aca="false">SUMIFS(Products!$F:$F,Products!$A:$A,$A5,Products!$C:$C,"Downgrade")</f>
        <v>0</v>
      </c>
      <c r="F5" s="17" t="n">
        <f aca="false">-SUMIFS(Products!$E:$E,Products!$A:$A,$A5,Products!$C:$C,"Churn")</f>
        <v>-0</v>
      </c>
      <c r="G5" s="17" t="n">
        <f aca="false">-(SUMIFS(Products!$L:$L,Products!$A:$A,$A5)-SUMIFS(Products!$I:$I,Products!$A:$A,$A5))</f>
        <v>-0</v>
      </c>
      <c r="H5" s="17" t="n">
        <f aca="false">SUMIFS(Products!$I:$I,Products!$A:$A,$A5)</f>
        <v>50400</v>
      </c>
      <c r="I5" s="17" t="n">
        <f aca="false">H5-B5</f>
        <v>2400</v>
      </c>
      <c r="J5" s="15" t="n">
        <f aca="false">IF(B5=0,0,I5/B5)</f>
        <v>0.05</v>
      </c>
      <c r="K5" s="17" t="n">
        <f aca="false">B5+E5+F5+MIN(0,C5+G5)</f>
        <v>48000</v>
      </c>
    </row>
    <row r="6" customFormat="false" ht="15" hidden="false" customHeight="false" outlineLevel="0" collapsed="false">
      <c r="A6" s="26" t="str">
        <f aca="false">Pipeline!A7</f>
        <v>Pixelforge</v>
      </c>
      <c r="B6" s="17" t="n">
        <f aca="false">SUMIFS(Products!$E:$E,Products!$A:$A,$A6)</f>
        <v>26000</v>
      </c>
      <c r="C6" s="17" t="n">
        <f aca="false">SUMPRODUCT((Products!$A$5:$A$200=$A6)*Products!$E$5:$E$200*Products!$G$5:$G$200)</f>
        <v>0</v>
      </c>
      <c r="D6" s="17" t="n">
        <f aca="false">SUMIFS(Products!$F:$F,Products!$A:$A,$A6,Products!$C:$C,"Upsell")+SUMIFS(Products!$F:$F,Products!$A:$A,$A6,Products!$C:$C,"Cross-sell")</f>
        <v>0</v>
      </c>
      <c r="E6" s="17" t="n">
        <f aca="false">SUMIFS(Products!$F:$F,Products!$A:$A,$A6,Products!$C:$C,"Downgrade")</f>
        <v>0</v>
      </c>
      <c r="F6" s="17" t="n">
        <f aca="false">-SUMIFS(Products!$E:$E,Products!$A:$A,$A6,Products!$C:$C,"Churn")</f>
        <v>-0</v>
      </c>
      <c r="G6" s="17" t="n">
        <f aca="false">-(SUMIFS(Products!$L:$L,Products!$A:$A,$A6)-SUMIFS(Products!$I:$I,Products!$A:$A,$A6))</f>
        <v>-0</v>
      </c>
      <c r="H6" s="17" t="n">
        <f aca="false">SUMIFS(Products!$I:$I,Products!$A:$A,$A6)</f>
        <v>26000</v>
      </c>
      <c r="I6" s="17" t="n">
        <f aca="false">H6-B6</f>
        <v>0</v>
      </c>
      <c r="J6" s="15" t="n">
        <f aca="false">IF(B6=0,0,I6/B6)</f>
        <v>0</v>
      </c>
      <c r="K6" s="17" t="n">
        <f aca="false">B6+E6+F6+MIN(0,C6+G6)</f>
        <v>26000</v>
      </c>
    </row>
    <row r="7" customFormat="false" ht="15" hidden="false" customHeight="false" outlineLevel="0" collapsed="false">
      <c r="A7" s="26" t="str">
        <f aca="false">Pipeline!A8</f>
        <v>Halden Health</v>
      </c>
      <c r="B7" s="17" t="n">
        <f aca="false">SUMIFS(Products!$E:$E,Products!$A:$A,$A7)</f>
        <v>45000</v>
      </c>
      <c r="C7" s="17" t="n">
        <f aca="false">SUMPRODUCT((Products!$A$5:$A$200=$A7)*Products!$E$5:$E$200*Products!$G$5:$G$200)</f>
        <v>0</v>
      </c>
      <c r="D7" s="17" t="n">
        <f aca="false">SUMIFS(Products!$F:$F,Products!$A:$A,$A7,Products!$C:$C,"Upsell")+SUMIFS(Products!$F:$F,Products!$A:$A,$A7,Products!$C:$C,"Cross-sell")</f>
        <v>0</v>
      </c>
      <c r="E7" s="17" t="n">
        <f aca="false">SUMIFS(Products!$F:$F,Products!$A:$A,$A7,Products!$C:$C,"Downgrade")</f>
        <v>-15000</v>
      </c>
      <c r="F7" s="17" t="n">
        <f aca="false">-SUMIFS(Products!$E:$E,Products!$A:$A,$A7,Products!$C:$C,"Churn")</f>
        <v>-0</v>
      </c>
      <c r="G7" s="17" t="n">
        <f aca="false">-(SUMIFS(Products!$L:$L,Products!$A:$A,$A7)-SUMIFS(Products!$I:$I,Products!$A:$A,$A7))</f>
        <v>-0</v>
      </c>
      <c r="H7" s="17" t="n">
        <f aca="false">SUMIFS(Products!$I:$I,Products!$A:$A,$A7)</f>
        <v>30000</v>
      </c>
      <c r="I7" s="17" t="n">
        <f aca="false">H7-B7</f>
        <v>-15000</v>
      </c>
      <c r="J7" s="15" t="n">
        <f aca="false">IF(B7=0,0,I7/B7)</f>
        <v>-0.333333333333333</v>
      </c>
      <c r="K7" s="17" t="n">
        <f aca="false">B7+E7+F7+MIN(0,C7+G7)</f>
        <v>30000</v>
      </c>
    </row>
    <row r="8" customFormat="false" ht="15" hidden="false" customHeight="false" outlineLevel="0" collapsed="false">
      <c r="A8" s="26" t="str">
        <f aca="false">Pipeline!A9</f>
        <v>Brightloop</v>
      </c>
      <c r="B8" s="17" t="n">
        <f aca="false">SUMIFS(Products!$E:$E,Products!$A:$A,$A8)</f>
        <v>36000</v>
      </c>
      <c r="C8" s="17" t="n">
        <f aca="false">SUMPRODUCT((Products!$A$5:$A$200=$A8)*Products!$E$5:$E$200*Products!$G$5:$G$200)</f>
        <v>1800</v>
      </c>
      <c r="D8" s="17" t="n">
        <f aca="false">SUMIFS(Products!$F:$F,Products!$A:$A,$A8,Products!$C:$C,"Upsell")+SUMIFS(Products!$F:$F,Products!$A:$A,$A8,Products!$C:$C,"Cross-sell")</f>
        <v>0</v>
      </c>
      <c r="E8" s="17" t="n">
        <f aca="false">SUMIFS(Products!$F:$F,Products!$A:$A,$A8,Products!$C:$C,"Downgrade")</f>
        <v>0</v>
      </c>
      <c r="F8" s="17" t="n">
        <f aca="false">-SUMIFS(Products!$E:$E,Products!$A:$A,$A8,Products!$C:$C,"Churn")</f>
        <v>-0</v>
      </c>
      <c r="G8" s="17" t="n">
        <f aca="false">-(SUMIFS(Products!$L:$L,Products!$A:$A,$A8)-SUMIFS(Products!$I:$I,Products!$A:$A,$A8))</f>
        <v>-4536</v>
      </c>
      <c r="H8" s="17" t="n">
        <f aca="false">SUMIFS(Products!$I:$I,Products!$A:$A,$A8)</f>
        <v>33264</v>
      </c>
      <c r="I8" s="17" t="n">
        <f aca="false">H8-B8</f>
        <v>-2736</v>
      </c>
      <c r="J8" s="15" t="n">
        <f aca="false">IF(B8=0,0,I8/B8)</f>
        <v>-0.076</v>
      </c>
      <c r="K8" s="17" t="n">
        <f aca="false">B8+E8+F8+MIN(0,C8+G8)</f>
        <v>33264</v>
      </c>
    </row>
    <row r="9" customFormat="false" ht="15" hidden="false" customHeight="false" outlineLevel="0" collapsed="false">
      <c r="A9" s="26" t="str">
        <f aca="false">Pipeline!A10</f>
        <v>Tessera Finance</v>
      </c>
      <c r="B9" s="17" t="n">
        <f aca="false">SUMIFS(Products!$E:$E,Products!$A:$A,$A9)</f>
        <v>50000</v>
      </c>
      <c r="C9" s="17" t="n">
        <f aca="false">SUMPRODUCT((Products!$A$5:$A$200=$A9)*Products!$E$5:$E$200*Products!$G$5:$G$200)</f>
        <v>2500</v>
      </c>
      <c r="D9" s="17" t="n">
        <f aca="false">SUMIFS(Products!$F:$F,Products!$A:$A,$A9,Products!$C:$C,"Upsell")+SUMIFS(Products!$F:$F,Products!$A:$A,$A9,Products!$C:$C,"Cross-sell")</f>
        <v>0</v>
      </c>
      <c r="E9" s="17" t="n">
        <f aca="false">SUMIFS(Products!$F:$F,Products!$A:$A,$A9,Products!$C:$C,"Downgrade")</f>
        <v>0</v>
      </c>
      <c r="F9" s="17" t="n">
        <f aca="false">-SUMIFS(Products!$E:$E,Products!$A:$A,$A9,Products!$C:$C,"Churn")</f>
        <v>-0</v>
      </c>
      <c r="G9" s="17" t="n">
        <f aca="false">-(SUMIFS(Products!$L:$L,Products!$A:$A,$A9)-SUMIFS(Products!$I:$I,Products!$A:$A,$A9))</f>
        <v>-0</v>
      </c>
      <c r="H9" s="17" t="n">
        <f aca="false">SUMIFS(Products!$I:$I,Products!$A:$A,$A9)</f>
        <v>52500</v>
      </c>
      <c r="I9" s="17" t="n">
        <f aca="false">H9-B9</f>
        <v>2500</v>
      </c>
      <c r="J9" s="15" t="n">
        <f aca="false">IF(B9=0,0,I9/B9)</f>
        <v>0.05</v>
      </c>
      <c r="K9" s="17" t="n">
        <f aca="false">B9+E9+F9+MIN(0,C9+G9)</f>
        <v>50000</v>
      </c>
    </row>
    <row r="10" customFormat="false" ht="15" hidden="false" customHeight="false" outlineLevel="0" collapsed="false">
      <c r="A10" s="26" t="str">
        <f aca="false">Pipeline!A11</f>
        <v>Lumen Retail</v>
      </c>
      <c r="B10" s="17" t="n">
        <f aca="false">SUMIFS(Products!$E:$E,Products!$A:$A,$A10)</f>
        <v>28000</v>
      </c>
      <c r="C10" s="17" t="n">
        <f aca="false">SUMPRODUCT((Products!$A$5:$A$200=$A10)*Products!$E$5:$E$200*Products!$G$5:$G$200)</f>
        <v>1400</v>
      </c>
      <c r="D10" s="17" t="n">
        <f aca="false">SUMIFS(Products!$F:$F,Products!$A:$A,$A10,Products!$C:$C,"Upsell")+SUMIFS(Products!$F:$F,Products!$A:$A,$A10,Products!$C:$C,"Cross-sell")</f>
        <v>0</v>
      </c>
      <c r="E10" s="17" t="n">
        <f aca="false">SUMIFS(Products!$F:$F,Products!$A:$A,$A10,Products!$C:$C,"Downgrade")</f>
        <v>0</v>
      </c>
      <c r="F10" s="17" t="n">
        <f aca="false">-SUMIFS(Products!$E:$E,Products!$A:$A,$A10,Products!$C:$C,"Churn")</f>
        <v>-0</v>
      </c>
      <c r="G10" s="17" t="n">
        <f aca="false">-(SUMIFS(Products!$L:$L,Products!$A:$A,$A10)-SUMIFS(Products!$I:$I,Products!$A:$A,$A10))</f>
        <v>-0</v>
      </c>
      <c r="H10" s="17" t="n">
        <f aca="false">SUMIFS(Products!$I:$I,Products!$A:$A,$A10)</f>
        <v>29400</v>
      </c>
      <c r="I10" s="17" t="n">
        <f aca="false">H10-B10</f>
        <v>1400</v>
      </c>
      <c r="J10" s="15" t="n">
        <f aca="false">IF(B10=0,0,I10/B10)</f>
        <v>0.05</v>
      </c>
      <c r="K10" s="17" t="n">
        <f aca="false">B10+E10+F10+MIN(0,C10+G10)</f>
        <v>28000</v>
      </c>
    </row>
    <row r="11" customFormat="false" ht="15" hidden="false" customHeight="false" outlineLevel="0" collapsed="false">
      <c r="A11" s="26" t="str">
        <f aca="false">Pipeline!A12</f>
        <v>Kestrel Analytics</v>
      </c>
      <c r="B11" s="17" t="n">
        <f aca="false">SUMIFS(Products!$E:$E,Products!$A:$A,$A11)</f>
        <v>35000</v>
      </c>
      <c r="C11" s="17" t="n">
        <f aca="false">SUMPRODUCT((Products!$A$5:$A$200=$A11)*Products!$E$5:$E$200*Products!$G$5:$G$200)</f>
        <v>1750</v>
      </c>
      <c r="D11" s="17" t="n">
        <f aca="false">SUMIFS(Products!$F:$F,Products!$A:$A,$A11,Products!$C:$C,"Upsell")+SUMIFS(Products!$F:$F,Products!$A:$A,$A11,Products!$C:$C,"Cross-sell")</f>
        <v>0</v>
      </c>
      <c r="E11" s="17" t="n">
        <f aca="false">SUMIFS(Products!$F:$F,Products!$A:$A,$A11,Products!$C:$C,"Downgrade")</f>
        <v>0</v>
      </c>
      <c r="F11" s="17" t="n">
        <f aca="false">-SUMIFS(Products!$E:$E,Products!$A:$A,$A11,Products!$C:$C,"Churn")</f>
        <v>-0</v>
      </c>
      <c r="G11" s="17" t="n">
        <f aca="false">-(SUMIFS(Products!$L:$L,Products!$A:$A,$A11)-SUMIFS(Products!$I:$I,Products!$A:$A,$A11))</f>
        <v>-0</v>
      </c>
      <c r="H11" s="17" t="n">
        <f aca="false">SUMIFS(Products!$I:$I,Products!$A:$A,$A11)</f>
        <v>36750</v>
      </c>
      <c r="I11" s="17" t="n">
        <f aca="false">H11-B11</f>
        <v>1750</v>
      </c>
      <c r="J11" s="15" t="n">
        <f aca="false">IF(B11=0,0,I11/B11)</f>
        <v>0.05</v>
      </c>
      <c r="K11" s="17" t="n">
        <f aca="false">B11+E11+F11+MIN(0,C11+G11)</f>
        <v>35000</v>
      </c>
    </row>
    <row r="12" customFormat="false" ht="15" hidden="false" customHeight="false" outlineLevel="0" collapsed="false">
      <c r="A12" s="26" t="str">
        <f aca="false">Pipeline!A13</f>
        <v>Marlowe Insurance</v>
      </c>
      <c r="B12" s="17" t="n">
        <f aca="false">SUMIFS(Products!$E:$E,Products!$A:$A,$A12)</f>
        <v>46000</v>
      </c>
      <c r="C12" s="17" t="n">
        <f aca="false">SUMPRODUCT((Products!$A$5:$A$200=$A12)*Products!$E$5:$E$200*Products!$G$5:$G$200)</f>
        <v>2300</v>
      </c>
      <c r="D12" s="17" t="n">
        <f aca="false">SUMIFS(Products!$F:$F,Products!$A:$A,$A12,Products!$C:$C,"Upsell")+SUMIFS(Products!$F:$F,Products!$A:$A,$A12,Products!$C:$C,"Cross-sell")</f>
        <v>0</v>
      </c>
      <c r="E12" s="17" t="n">
        <f aca="false">SUMIFS(Products!$F:$F,Products!$A:$A,$A12,Products!$C:$C,"Downgrade")</f>
        <v>0</v>
      </c>
      <c r="F12" s="17" t="n">
        <f aca="false">-SUMIFS(Products!$E:$E,Products!$A:$A,$A12,Products!$C:$C,"Churn")</f>
        <v>-0</v>
      </c>
      <c r="G12" s="17" t="n">
        <f aca="false">-(SUMIFS(Products!$L:$L,Products!$A:$A,$A12)-SUMIFS(Products!$I:$I,Products!$A:$A,$A12))</f>
        <v>-0</v>
      </c>
      <c r="H12" s="17" t="n">
        <f aca="false">SUMIFS(Products!$I:$I,Products!$A:$A,$A12)</f>
        <v>48300</v>
      </c>
      <c r="I12" s="17" t="n">
        <f aca="false">H12-B12</f>
        <v>2300</v>
      </c>
      <c r="J12" s="15" t="n">
        <f aca="false">IF(B12=0,0,I12/B12)</f>
        <v>0.05</v>
      </c>
      <c r="K12" s="17" t="n">
        <f aca="false">B12+E12+F12+MIN(0,C12+G12)</f>
        <v>46000</v>
      </c>
    </row>
    <row r="13" customFormat="false" ht="15" hidden="false" customHeight="false" outlineLevel="0" collapsed="false">
      <c r="A13" s="26" t="str">
        <f aca="false">Pipeline!A14</f>
        <v>Quanta Labs</v>
      </c>
      <c r="B13" s="17" t="n">
        <f aca="false">SUMIFS(Products!$E:$E,Products!$A:$A,$A13)</f>
        <v>40000</v>
      </c>
      <c r="C13" s="17" t="n">
        <f aca="false">SUMPRODUCT((Products!$A$5:$A$200=$A13)*Products!$E$5:$E$200*Products!$G$5:$G$200)</f>
        <v>0</v>
      </c>
      <c r="D13" s="17" t="n">
        <f aca="false">SUMIFS(Products!$F:$F,Products!$A:$A,$A13,Products!$C:$C,"Upsell")+SUMIFS(Products!$F:$F,Products!$A:$A,$A13,Products!$C:$C,"Cross-sell")</f>
        <v>0</v>
      </c>
      <c r="E13" s="17" t="n">
        <f aca="false">SUMIFS(Products!$F:$F,Products!$A:$A,$A13,Products!$C:$C,"Downgrade")</f>
        <v>-8000</v>
      </c>
      <c r="F13" s="17" t="n">
        <f aca="false">-SUMIFS(Products!$E:$E,Products!$A:$A,$A13,Products!$C:$C,"Churn")</f>
        <v>-0</v>
      </c>
      <c r="G13" s="17" t="n">
        <f aca="false">-(SUMIFS(Products!$L:$L,Products!$A:$A,$A13)-SUMIFS(Products!$I:$I,Products!$A:$A,$A13))</f>
        <v>-0</v>
      </c>
      <c r="H13" s="17" t="n">
        <f aca="false">SUMIFS(Products!$I:$I,Products!$A:$A,$A13)</f>
        <v>32000</v>
      </c>
      <c r="I13" s="17" t="n">
        <f aca="false">H13-B13</f>
        <v>-8000</v>
      </c>
      <c r="J13" s="15" t="n">
        <f aca="false">IF(B13=0,0,I13/B13)</f>
        <v>-0.2</v>
      </c>
      <c r="K13" s="17" t="n">
        <f aca="false">B13+E13+F13+MIN(0,C13+G13)</f>
        <v>32000</v>
      </c>
    </row>
    <row r="14" customFormat="false" ht="15" hidden="false" customHeight="false" outlineLevel="0" collapsed="false">
      <c r="A14" s="2" t="s">
        <v>101</v>
      </c>
      <c r="B14" s="19" t="n">
        <f aca="false">SUM(B4:B13)</f>
        <v>375000</v>
      </c>
      <c r="C14" s="19" t="n">
        <f aca="false">SUM(C4:C13)</f>
        <v>13200</v>
      </c>
      <c r="D14" s="19" t="n">
        <f aca="false">SUM(D4:D13)</f>
        <v>0</v>
      </c>
      <c r="E14" s="19" t="n">
        <f aca="false">SUM(E4:E13)</f>
        <v>-23000</v>
      </c>
      <c r="F14" s="19" t="n">
        <f aca="false">SUM(F4:F13)</f>
        <v>0</v>
      </c>
      <c r="G14" s="19" t="n">
        <f aca="false">SUM(G4:G13)</f>
        <v>-4536</v>
      </c>
      <c r="H14" s="19" t="n">
        <f aca="false">SUM(H4:H13)</f>
        <v>360664</v>
      </c>
      <c r="I14" s="19" t="n">
        <f aca="false">SUM(I4:I13)</f>
        <v>-14336</v>
      </c>
      <c r="J14" s="27" t="n">
        <f aca="false">IF(B14=0,0,I14/B14)</f>
        <v>-0.0382293333333333</v>
      </c>
      <c r="K14" s="19" t="n">
        <f aca="false">SUM(K4:K13)</f>
        <v>349264</v>
      </c>
    </row>
    <row r="16" customFormat="false" ht="15" hidden="false" customHeight="false" outlineLevel="0" collapsed="false">
      <c r="A16" s="28" t="s">
        <v>157</v>
      </c>
      <c r="B16" s="29" t="n">
        <f aca="false">K14/B14</f>
        <v>0.931370666666667</v>
      </c>
    </row>
    <row r="17" customFormat="false" ht="15" hidden="false" customHeight="false" outlineLevel="0" collapsed="false">
      <c r="A17" s="28" t="s">
        <v>158</v>
      </c>
      <c r="B17" s="29" t="n">
        <f aca="false">H14/B14</f>
        <v>0.961770666666667</v>
      </c>
    </row>
    <row r="18" customFormat="false" ht="15" hidden="false" customHeight="false" outlineLevel="0" collapsed="false">
      <c r="A18" s="28" t="s">
        <v>159</v>
      </c>
      <c r="B18" s="28" t="str">
        <f aca="false">IF(ABS(H14-Pipeline!Q15)&lt;1,"OK","MISMATCH")</f>
        <v>OK</v>
      </c>
    </row>
  </sheetData>
  <conditionalFormatting sqref="I4:J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G14">
    <cfRule type="cellIs" priority="4"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9" min="8" style="0" width="13"/>
    <col collapsed="false" customWidth="true" hidden="false" outlineLevel="0" max="10" min="10" style="0" width="14"/>
  </cols>
  <sheetData>
    <row r="1" customFormat="false" ht="16.15" hidden="false" customHeight="false" outlineLevel="0" collapsed="false">
      <c r="A1" s="4" t="s">
        <v>160</v>
      </c>
    </row>
    <row r="3" customFormat="false" ht="31.5" hidden="false" customHeight="true" outlineLevel="0" collapsed="false">
      <c r="A3" s="7" t="s">
        <v>36</v>
      </c>
      <c r="B3" s="7" t="s">
        <v>35</v>
      </c>
      <c r="C3" s="7" t="s">
        <v>161</v>
      </c>
      <c r="D3" s="7" t="s">
        <v>25</v>
      </c>
      <c r="E3" s="7" t="s">
        <v>162</v>
      </c>
      <c r="F3" s="7" t="s">
        <v>41</v>
      </c>
      <c r="G3" s="7" t="s">
        <v>163</v>
      </c>
      <c r="H3" s="7" t="s">
        <v>164</v>
      </c>
      <c r="I3" s="7" t="s">
        <v>165</v>
      </c>
      <c r="J3" s="7" t="s">
        <v>166</v>
      </c>
    </row>
    <row r="4" customFormat="false" ht="15" hidden="false" customHeight="false" outlineLevel="0" collapsed="false">
      <c r="A4" s="14" t="s">
        <v>167</v>
      </c>
      <c r="B4" s="14" t="s">
        <v>168</v>
      </c>
      <c r="C4" s="14" t="n">
        <f aca="false">COUNTIFS(Pipeline!$L$5:$L$14,B4)</f>
        <v>2</v>
      </c>
      <c r="D4" s="17" t="n">
        <f aca="false">SUMIFS(Pipeline!$B$5:$B$14,Pipeline!$L$5:$L$14,B4)</f>
        <v>69000</v>
      </c>
      <c r="E4" s="17" t="n">
        <f aca="false">SUMIFS(Pipeline!$B$5:$B$14,Pipeline!$L$5:$L$14,B4,Pipeline!$K$5:$K$14,"YES")</f>
        <v>21000</v>
      </c>
      <c r="F4" s="17" t="n">
        <f aca="false">SUMIFS(Pipeline!$R$5:$R$14,Pipeline!$L$5:$L$14,B4)</f>
        <v>12537</v>
      </c>
      <c r="G4" s="17" t="n">
        <f aca="false">SUMIFS(Pipeline!$T$5:$T$14,Pipeline!$L$5:$L$14,B4,Pipeline!$S$5:$S$14,"On time")</f>
        <v>48000</v>
      </c>
      <c r="H4" s="17" t="n">
        <f aca="false">SUMIFS(Pipeline!$T$5:$T$14,Pipeline!$L$5:$L$14,B4,Pipeline!$S$5:$S$14,"Late")</f>
        <v>21000</v>
      </c>
      <c r="I4" s="17" t="n">
        <f aca="false">D4-G4-H4</f>
        <v>0</v>
      </c>
      <c r="J4" s="8" t="n">
        <f aca="false">COUNTIFS(Pipeline!$L$5:$L$14,B4,Pipeline!$D$5:$D$14,"Manual",Pipeline!$I$5:$I$14,"&lt;=60",Pipeline!$G$5:$G$14,"Not started")+COUNTIFS(Pipeline!$L$5:$L$14,B4,Pipeline!$D$5:$D$14,"Manual",Pipeline!$I$5:$I$14,"&lt;=60",Pipeline!$G$5:$G$14,"Engaging customer")</f>
        <v>1</v>
      </c>
    </row>
    <row r="5" customFormat="false" ht="15" hidden="false" customHeight="false" outlineLevel="0" collapsed="false">
      <c r="A5" s="14" t="s">
        <v>167</v>
      </c>
      <c r="B5" s="14" t="s">
        <v>169</v>
      </c>
      <c r="C5" s="14" t="n">
        <f aca="false">COUNTIFS(Pipeline!$L$5:$L$14,B5)</f>
        <v>5</v>
      </c>
      <c r="D5" s="17" t="n">
        <f aca="false">SUMIFS(Pipeline!$B$5:$B$14,Pipeline!$L$5:$L$14,B5)</f>
        <v>184000</v>
      </c>
      <c r="E5" s="17" t="n">
        <f aca="false">SUMIFS(Pipeline!$B$5:$B$14,Pipeline!$L$5:$L$14,B5,Pipeline!$K$5:$K$14,"YES")</f>
        <v>0</v>
      </c>
      <c r="F5" s="17" t="n">
        <f aca="false">SUMIFS(Pipeline!$R$5:$R$14,Pipeline!$L$5:$L$14,B5)</f>
        <v>42608.75</v>
      </c>
      <c r="G5" s="17" t="n">
        <f aca="false">SUMIFS(Pipeline!$T$5:$T$14,Pipeline!$L$5:$L$14,B5,Pipeline!$S$5:$S$14,"On time")</f>
        <v>89000</v>
      </c>
      <c r="H5" s="17" t="n">
        <f aca="false">SUMIFS(Pipeline!$T$5:$T$14,Pipeline!$L$5:$L$14,B5,Pipeline!$S$5:$S$14,"Late")</f>
        <v>80000</v>
      </c>
      <c r="I5" s="17" t="n">
        <f aca="false">D5-G5-H5</f>
        <v>15000</v>
      </c>
      <c r="J5" s="8" t="n">
        <f aca="false">COUNTIFS(Pipeline!$L$5:$L$14,B5,Pipeline!$D$5:$D$14,"Manual",Pipeline!$I$5:$I$14,"&lt;=60",Pipeline!$G$5:$G$14,"Not started")+COUNTIFS(Pipeline!$L$5:$L$14,B5,Pipeline!$D$5:$D$14,"Manual",Pipeline!$I$5:$I$14,"&lt;=60",Pipeline!$G$5:$G$14,"Engaging customer")</f>
        <v>3</v>
      </c>
    </row>
    <row r="6" customFormat="false" ht="15" hidden="false" customHeight="false" outlineLevel="0" collapsed="false">
      <c r="A6" s="14" t="s">
        <v>167</v>
      </c>
      <c r="B6" s="14" t="s">
        <v>170</v>
      </c>
      <c r="C6" s="14" t="n">
        <f aca="false">COUNTIFS(Pipeline!$L$5:$L$14,B6)</f>
        <v>3</v>
      </c>
      <c r="D6" s="17" t="n">
        <f aca="false">SUMIFS(Pipeline!$B$5:$B$14,Pipeline!$L$5:$L$14,B6)</f>
        <v>122000</v>
      </c>
      <c r="E6" s="17" t="n">
        <f aca="false">SUMIFS(Pipeline!$B$5:$B$14,Pipeline!$L$5:$L$14,B6,Pipeline!$K$5:$K$14,"YES")</f>
        <v>0</v>
      </c>
      <c r="F6" s="17" t="n">
        <f aca="false">SUMIFS(Pipeline!$R$5:$R$14,Pipeline!$L$5:$L$14,B6)</f>
        <v>33946.45</v>
      </c>
      <c r="G6" s="17" t="n">
        <f aca="false">SUMIFS(Pipeline!$T$5:$T$14,Pipeline!$L$5:$L$14,B6,Pipeline!$S$5:$S$14,"On time")</f>
        <v>111264</v>
      </c>
      <c r="H6" s="17" t="n">
        <f aca="false">SUMIFS(Pipeline!$T$5:$T$14,Pipeline!$L$5:$L$14,B6,Pipeline!$S$5:$S$14,"Late")</f>
        <v>0</v>
      </c>
      <c r="I6" s="17" t="n">
        <f aca="false">D6-G6-H6</f>
        <v>10736</v>
      </c>
      <c r="J6" s="8" t="n">
        <f aca="false">COUNTIFS(Pipeline!$L$5:$L$14,B6,Pipeline!$D$5:$D$14,"Manual",Pipeline!$I$5:$I$14,"&lt;=60",Pipeline!$G$5:$G$14,"Not started")+COUNTIFS(Pipeline!$L$5:$L$14,B6,Pipeline!$D$5:$D$14,"Manual",Pipeline!$I$5:$I$14,"&lt;=60",Pipeline!$G$5:$G$14,"Engaging customer")</f>
        <v>1</v>
      </c>
    </row>
    <row r="7" customFormat="false" ht="15" hidden="false" customHeight="false" outlineLevel="0" collapsed="false">
      <c r="A7" s="2" t="s">
        <v>171</v>
      </c>
      <c r="C7" s="2" t="n">
        <f aca="false">SUM(C4:C6)</f>
        <v>10</v>
      </c>
      <c r="D7" s="19" t="n">
        <f aca="false">SUM(D4:D6)</f>
        <v>375000</v>
      </c>
      <c r="E7" s="19" t="n">
        <f aca="false">SUM(E4:E6)</f>
        <v>21000</v>
      </c>
      <c r="F7" s="19" t="n">
        <f aca="false">SUM(F4:F6)</f>
        <v>89092.2</v>
      </c>
      <c r="G7" s="19" t="n">
        <f aca="false">SUM(G4:G6)</f>
        <v>248264</v>
      </c>
      <c r="H7" s="19" t="n">
        <f aca="false">SUM(H4:H6)</f>
        <v>101000</v>
      </c>
      <c r="I7" s="19" t="n">
        <f aca="false">SUM(I4:I6)</f>
        <v>25736</v>
      </c>
      <c r="J7" s="30" t="n">
        <f aca="false">SUM(J4:J6)</f>
        <v>5</v>
      </c>
    </row>
    <row r="9" customFormat="false" ht="43.5" hidden="false" customHeight="true" outlineLevel="0" collapsed="false">
      <c r="A9" s="25" t="s">
        <v>172</v>
      </c>
      <c r="B9" s="25"/>
      <c r="C9" s="25"/>
      <c r="D9" s="25"/>
      <c r="E9" s="25"/>
      <c r="F9" s="25"/>
      <c r="G9" s="25"/>
      <c r="H9" s="25"/>
      <c r="I9" s="25"/>
      <c r="J9" s="25"/>
    </row>
  </sheetData>
  <mergeCells count="1">
    <mergeCell ref="A9:J9"/>
  </mergeCells>
  <conditionalFormatting sqref="E4:E7">
    <cfRule type="cellIs" priority="2" operator="greaterThan" aboveAverage="0" equalAverage="0" bottom="0" percent="0" rank="0" text="" dxfId="2">
      <formula>0</formula>
    </cfRule>
  </conditionalFormatting>
  <conditionalFormatting sqref="J4:J7">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1"/>
    <col collapsed="false" customWidth="true" hidden="false" outlineLevel="0" max="7" min="7" style="0" width="70"/>
  </cols>
  <sheetData>
    <row r="1" customFormat="false" ht="16.15" hidden="false" customHeight="false" outlineLevel="0" collapsed="false">
      <c r="A1" s="4" t="s">
        <v>173</v>
      </c>
    </row>
    <row r="2" customFormat="false" ht="15" hidden="false" customHeight="false" outlineLevel="0" collapsed="false">
      <c r="A2" s="6" t="s">
        <v>174</v>
      </c>
    </row>
    <row r="4" customFormat="false" ht="31.5" hidden="false" customHeight="true" outlineLevel="0" collapsed="false">
      <c r="A4" s="7" t="s">
        <v>30</v>
      </c>
      <c r="B4" s="7" t="s">
        <v>175</v>
      </c>
      <c r="C4" s="7" t="s">
        <v>176</v>
      </c>
      <c r="D4" s="7" t="s">
        <v>177</v>
      </c>
      <c r="E4" s="7" t="s">
        <v>178</v>
      </c>
      <c r="F4" s="7" t="s">
        <v>179</v>
      </c>
      <c r="G4" s="7" t="s">
        <v>180</v>
      </c>
    </row>
    <row r="5" customFormat="false" ht="15" hidden="false" customHeight="false" outlineLevel="0" collapsed="false">
      <c r="A5" s="24" t="s">
        <v>181</v>
      </c>
      <c r="B5" s="31" t="n">
        <v>0</v>
      </c>
      <c r="C5" s="31" t="n">
        <v>0</v>
      </c>
      <c r="D5" s="31" t="n">
        <v>0</v>
      </c>
      <c r="E5" s="31" t="n">
        <v>0</v>
      </c>
      <c r="F5" s="31" t="n">
        <v>0</v>
      </c>
      <c r="G5" s="32" t="s">
        <v>182</v>
      </c>
    </row>
    <row r="6" customFormat="false" ht="15" hidden="false" customHeight="false" outlineLevel="0" collapsed="false">
      <c r="A6" s="24" t="s">
        <v>62</v>
      </c>
      <c r="B6" s="31" t="n">
        <v>0.05</v>
      </c>
      <c r="C6" s="31" t="n">
        <v>0.1</v>
      </c>
      <c r="D6" s="31" t="n">
        <v>0.2</v>
      </c>
      <c r="E6" s="31" t="n">
        <v>0.3</v>
      </c>
      <c r="F6" s="31" t="n">
        <v>0.35</v>
      </c>
      <c r="G6" s="32" t="s">
        <v>183</v>
      </c>
    </row>
    <row r="7" customFormat="false" ht="15" hidden="false" customHeight="false" outlineLevel="0" collapsed="false">
      <c r="A7" s="24" t="s">
        <v>70</v>
      </c>
      <c r="B7" s="31" t="n">
        <v>0.1</v>
      </c>
      <c r="C7" s="31" t="n">
        <v>0.25</v>
      </c>
      <c r="D7" s="31" t="n">
        <v>0.35</v>
      </c>
      <c r="E7" s="31" t="n">
        <v>0.45</v>
      </c>
      <c r="F7" s="31" t="n">
        <v>0.5</v>
      </c>
      <c r="G7" s="32" t="s">
        <v>184</v>
      </c>
    </row>
    <row r="8" customFormat="false" ht="15" hidden="false" customHeight="false" outlineLevel="0" collapsed="false">
      <c r="A8" s="24" t="s">
        <v>80</v>
      </c>
      <c r="B8" s="31" t="n">
        <v>0.2</v>
      </c>
      <c r="C8" s="31" t="n">
        <v>0.4</v>
      </c>
      <c r="D8" s="31" t="n">
        <v>0.5</v>
      </c>
      <c r="E8" s="31" t="n">
        <v>0.55</v>
      </c>
      <c r="F8" s="31" t="n">
        <v>0.55</v>
      </c>
      <c r="G8" s="32" t="s">
        <v>185</v>
      </c>
    </row>
    <row r="9" customFormat="false" ht="15" hidden="false" customHeight="false" outlineLevel="0" collapsed="false">
      <c r="A9" s="24" t="s">
        <v>54</v>
      </c>
      <c r="B9" s="31" t="n">
        <v>0.4</v>
      </c>
      <c r="C9" s="31" t="n">
        <v>0.65</v>
      </c>
      <c r="D9" s="31" t="n">
        <v>0.7</v>
      </c>
      <c r="E9" s="31" t="n">
        <v>0.7</v>
      </c>
      <c r="F9" s="31" t="n">
        <v>0.7</v>
      </c>
      <c r="G9" s="32" t="s">
        <v>186</v>
      </c>
    </row>
    <row r="10" customFormat="false" ht="15" hidden="false" customHeight="false" outlineLevel="0" collapsed="false">
      <c r="A10" s="24" t="s">
        <v>59</v>
      </c>
      <c r="B10" s="31" t="n">
        <v>0.6</v>
      </c>
      <c r="C10" s="31" t="n">
        <v>0.85</v>
      </c>
      <c r="D10" s="31" t="n">
        <v>0.85</v>
      </c>
      <c r="E10" s="31" t="n">
        <v>0.8</v>
      </c>
      <c r="F10" s="31" t="n">
        <v>0.8</v>
      </c>
      <c r="G10" s="32" t="s">
        <v>187</v>
      </c>
    </row>
    <row r="11" customFormat="false" ht="15" hidden="false" customHeight="false" outlineLevel="0" collapsed="false">
      <c r="A11" s="24" t="s">
        <v>67</v>
      </c>
      <c r="B11" s="31" t="n">
        <v>0.9</v>
      </c>
      <c r="C11" s="31" t="n">
        <v>0.98</v>
      </c>
      <c r="D11" s="31" t="n">
        <v>0.97</v>
      </c>
      <c r="E11" s="31" t="n">
        <v>0.95</v>
      </c>
      <c r="F11" s="31" t="n">
        <v>0.95</v>
      </c>
      <c r="G11" s="32" t="s">
        <v>188</v>
      </c>
    </row>
    <row r="12" customFormat="false" ht="15" hidden="false" customHeight="false" outlineLevel="0" collapsed="false">
      <c r="A12" s="24" t="s">
        <v>189</v>
      </c>
      <c r="B12" s="31" t="n">
        <v>1</v>
      </c>
      <c r="C12" s="31" t="n">
        <v>1</v>
      </c>
      <c r="D12" s="31" t="n">
        <v>1</v>
      </c>
      <c r="E12" s="31" t="n">
        <v>1</v>
      </c>
      <c r="F12" s="31" t="n">
        <v>1</v>
      </c>
      <c r="G12" s="32" t="s">
        <v>190</v>
      </c>
    </row>
    <row r="13" customFormat="false" ht="15" hidden="false" customHeight="false" outlineLevel="0" collapsed="false">
      <c r="A13" s="24" t="s">
        <v>191</v>
      </c>
      <c r="B13" s="31" t="n">
        <v>0</v>
      </c>
      <c r="C13" s="31" t="n">
        <v>0</v>
      </c>
      <c r="D13" s="31" t="n">
        <v>0</v>
      </c>
      <c r="E13" s="31" t="n">
        <v>0</v>
      </c>
      <c r="F13" s="31" t="n">
        <v>0</v>
      </c>
      <c r="G13" s="32" t="s">
        <v>192</v>
      </c>
    </row>
    <row r="16" customFormat="false" ht="15" hidden="false" customHeight="false" outlineLevel="0" collapsed="false">
      <c r="A16" s="2" t="s">
        <v>193</v>
      </c>
    </row>
    <row r="17" customFormat="false" ht="31.5" hidden="false" customHeight="true" outlineLevel="0" collapsed="false">
      <c r="A17" s="7" t="s">
        <v>29</v>
      </c>
      <c r="B17" s="7" t="s">
        <v>194</v>
      </c>
    </row>
    <row r="18" customFormat="false" ht="15" hidden="false" customHeight="false" outlineLevel="0" collapsed="false">
      <c r="A18" s="14" t="s">
        <v>61</v>
      </c>
      <c r="B18" s="33" t="n">
        <v>1</v>
      </c>
    </row>
    <row r="19" customFormat="false" ht="15" hidden="false" customHeight="false" outlineLevel="0" collapsed="false">
      <c r="A19" s="14" t="s">
        <v>53</v>
      </c>
      <c r="B19" s="33" t="n">
        <v>0.85</v>
      </c>
    </row>
    <row r="20" customFormat="false" ht="15" hidden="false" customHeight="false" outlineLevel="0" collapsed="false">
      <c r="A20" s="14" t="s">
        <v>75</v>
      </c>
      <c r="B20" s="33" t="n">
        <v>0.6</v>
      </c>
    </row>
    <row r="23" customFormat="false" ht="15" hidden="false" customHeight="true" outlineLevel="0" collapsed="false">
      <c r="A23" s="2" t="s">
        <v>195</v>
      </c>
      <c r="B23" s="34" t="n">
        <v>0.8</v>
      </c>
      <c r="C23" s="25" t="s">
        <v>196</v>
      </c>
      <c r="D23" s="25"/>
      <c r="E23" s="25"/>
      <c r="F23" s="25"/>
      <c r="G23" s="25"/>
    </row>
    <row r="24" customFormat="false" ht="15" hidden="false" customHeight="false" outlineLevel="0" collapsed="false">
      <c r="C24" s="25"/>
      <c r="D24" s="25"/>
      <c r="E24" s="25"/>
      <c r="F24" s="25"/>
      <c r="G24" s="25"/>
    </row>
  </sheetData>
  <mergeCells count="1">
    <mergeCell ref="C23:G24"/>
  </mergeCells>
  <conditionalFormatting sqref="B5:F13">
    <cfRule type="expression" priority="2" aboveAverage="0" equalAverage="0" bottom="0" percent="0" rank="0" text="" dxfId="3">
      <formula>B5&gt;=0.8</formula>
    </cfRule>
    <cfRule type="expression" priority="3" aboveAverage="0" equalAverage="0" bottom="0" percent="0" rank="0" text="" dxfId="2">
      <formula>AND(B5&gt;0,B5&lt;0.4)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197</v>
      </c>
    </row>
    <row r="3" customFormat="false" ht="31.5" hidden="false" customHeight="true" outlineLevel="0" collapsed="false">
      <c r="A3" s="7" t="s">
        <v>198</v>
      </c>
      <c r="B3" s="7" t="s">
        <v>199</v>
      </c>
      <c r="C3" s="7" t="s">
        <v>200</v>
      </c>
    </row>
    <row r="4" customFormat="false" ht="15" hidden="false" customHeight="false" outlineLevel="0" collapsed="false">
      <c r="A4" s="18" t="s">
        <v>201</v>
      </c>
      <c r="B4" s="18" t="s">
        <v>202</v>
      </c>
      <c r="C4" s="18" t="s">
        <v>203</v>
      </c>
    </row>
    <row r="5" customFormat="false" ht="15" hidden="false" customHeight="false" outlineLevel="0" collapsed="false">
      <c r="A5" s="18" t="s">
        <v>204</v>
      </c>
      <c r="B5" s="18" t="s">
        <v>205</v>
      </c>
      <c r="C5" s="18" t="s">
        <v>206</v>
      </c>
    </row>
    <row r="6" customFormat="false" ht="15" hidden="false" customHeight="false" outlineLevel="0" collapsed="false">
      <c r="A6" s="18" t="s">
        <v>207</v>
      </c>
      <c r="B6" s="18" t="s">
        <v>208</v>
      </c>
      <c r="C6" s="18" t="s">
        <v>209</v>
      </c>
    </row>
    <row r="7" customFormat="false" ht="15" hidden="false" customHeight="false" outlineLevel="0" collapsed="false">
      <c r="A7" s="18" t="s">
        <v>210</v>
      </c>
      <c r="B7" s="18" t="s">
        <v>211</v>
      </c>
      <c r="C7" s="18" t="s">
        <v>212</v>
      </c>
    </row>
    <row r="8" customFormat="false" ht="15" hidden="false" customHeight="false" outlineLevel="0" collapsed="false">
      <c r="A8" s="18" t="s">
        <v>136</v>
      </c>
      <c r="B8" s="18" t="s">
        <v>213</v>
      </c>
      <c r="C8" s="18" t="s">
        <v>214</v>
      </c>
    </row>
    <row r="9" customFormat="false" ht="15" hidden="false" customHeight="false" outlineLevel="0" collapsed="false">
      <c r="A9" s="18" t="s">
        <v>215</v>
      </c>
      <c r="B9" s="18" t="s">
        <v>216</v>
      </c>
      <c r="C9" s="18" t="s">
        <v>217</v>
      </c>
    </row>
    <row r="10" customFormat="false" ht="15" hidden="false" customHeight="false" outlineLevel="0" collapsed="false">
      <c r="A10" s="18" t="s">
        <v>218</v>
      </c>
      <c r="B10" s="18" t="s">
        <v>219</v>
      </c>
      <c r="C10" s="18"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2026-10-25T12:25:48Z</dcterms:created>
  <dc:creator>openpyxl</dc:creator>
  <dc:description/>
  <dc:language>en-US</dc:language>
  <cp:lastModifiedBy/>
  <dcterms:modified xsi:type="dcterms:W3CDTF">2026-10-25T12:25:48Z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