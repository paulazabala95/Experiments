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1"/>
  </bookViews>
  <sheets>
    <sheet name="Read me" sheetId="1" state="visible" r:id="rId3"/>
    <sheet name="Triage" sheetId="2" state="visible" r:id="rId4"/>
    <sheet name="Pipeline" sheetId="3" state="visible" r:id="rId5"/>
    <sheet name="Products" sheetId="4" state="visible" r:id="rId6"/>
    <sheet name="Opp summary" sheetId="5" state="visible" r:id="rId7"/>
    <sheet name="Monthly report" sheetId="6" state="visible" r:id="rId8"/>
    <sheet name="Probability" sheetId="7" state="visible" r:id="rId9"/>
    <sheet name="Policy" sheetId="8" state="visible" r:id="rId10"/>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2" authorId="0">
      <text>
        <r>
          <rPr>
            <sz val="10"/>
            <rFont val="Arial"/>
            <family val="2"/>
          </rPr>
          <t xml:space="preserve">Exercise date: Tue 20 Oct 2026, so Vantage is overdue and the other nine fall inside 60 days. Use =TODAY() in live use.</t>
        </r>
      </text>
      <mc:AlternateContent>
        <mc:Choice Requires="v2">
          <commentPr autoFill="true" autoScale="false" colHidden="false" locked="false" rowHidden="false" textHAlign="justify" textVAlign="top">
            <anchor moveWithCells="false" sizeWithCells="false">
              <xdr:from>
                <xdr:col>0</xdr:col>
                <xdr:colOff>79</xdr:colOff>
                <xdr:row>0</xdr:row>
                <xdr:rowOff>4</xdr:rowOff>
              </xdr:from>
              <xdr:to>
                <xdr:col>1</xdr:col>
                <xdr:colOff>75</xdr:colOff>
                <xdr:row>3</xdr:row>
                <xdr:rowOff>39</xdr:rowOff>
              </xdr:to>
            </anchor>
          </commentPr>
        </mc:Choice>
        <mc:Fallback/>
      </mc:AlternateContent>
    </comment>
  </commentList>
</comments>
</file>

<file path=xl/sharedStrings.xml><?xml version="1.0" encoding="utf-8"?>
<sst xmlns="http://schemas.openxmlformats.org/spreadsheetml/2006/main" count="408" uniqueCount="286">
  <si>
    <t xml:space="preserve">Renewal tracker: a mock-up of the CRM renewal model</t>
  </si>
  <si>
    <t xml:space="preserve">Purpose</t>
  </si>
  <si>
    <t xml:space="preserve">Shows the numbers the CRM would hold: renewals by month and quarter, by status, by product line, and a forecast driven by Renewal Status x countdown.</t>
  </si>
  <si>
    <t xml:space="preserve">Today</t>
  </si>
  <si>
    <t xml:space="preserve">Pipeline!B2 = 20 Oct 2026 (exercise date). Use =TODAY() in live use.</t>
  </si>
  <si>
    <t xml:space="preserve">Triage</t>
  </si>
  <si>
    <t xml:space="preserve">Rank, why first, next action, one lead owner (Me / CSM / Finance / Legal) plus who does what, due date, and today's escalations. Sorted by rank; edit the rank on the Pipeline tab.</t>
  </si>
  <si>
    <t xml:space="preserve">Probability</t>
  </si>
  <si>
    <t xml:space="preserve">Renewal Status x days to renewal. Late statuses rise as the date gets closer; early statuses fall. Overdue has its own, lower column.</t>
  </si>
  <si>
    <t xml:space="preserve">Auto-renewals</t>
  </si>
  <si>
    <t xml:space="preserve">Own statuses: Renewing: no blockers / Billing blocker / At risk (before or after the notice deadline) / Notice received / Renewed. A red status cell means the status does not match the renewal type.</t>
  </si>
  <si>
    <t xml:space="preserve">Usage rule</t>
  </si>
  <si>
    <t xml:space="preserve">Usage +20%: renew as is plus an Upsell opportunity and task (no automatic charge). Usage -20%: flag the CSM; auto-renewals move to At risk.</t>
  </si>
  <si>
    <t xml:space="preserve">Forecast of the forecast</t>
  </si>
  <si>
    <t xml:space="preserve">Weighted today vs weighted by 30 Oct if this week's actions move each status to its target.</t>
  </si>
  <si>
    <t xml:space="preserve">Overdue rule</t>
  </si>
  <si>
    <t xml:space="preserve">Overdue renewals are Late. They count in the quarter only if the expected close date is on or before quarter end; otherwise 0% for the quarter.</t>
  </si>
  <si>
    <t xml:space="preserve">Forecast</t>
  </si>
  <si>
    <t xml:space="preserve">Weighted new ARR = new ARR from product lines x probability. Buckets: On time, Late (still in quarter), Slips quarter. Lost comes from the product lines.</t>
  </si>
  <si>
    <t xml:space="preserve">Products</t>
  </si>
  <si>
    <t xml:space="preserve">The Renewals Manager only sets the line type (Renewal / Upsell / Downgrade / Churn) and the new numbers. Original ARR, list price, new ARR and Δ (green/red) recalculate; the renewal value already includes the uplift. Upsell lines open a linked Upsell opportunity.</t>
  </si>
  <si>
    <t xml:space="preserve">Churn</t>
  </si>
  <si>
    <t xml:space="preserve">Set on the opportunity: churned amount (from the lines), category (Regrettable = revenue lost for good; Non-regrettable = revenue kept, e.g. self-hosted moving to n8n Cloud) and a granular reason.</t>
  </si>
  <si>
    <t xml:space="preserve">Colour code</t>
  </si>
  <si>
    <t xml:space="preserve">Blue on yellow = input. Black = formula. Green text = link to another tab. Red/amber/green fills = risk.</t>
  </si>
  <si>
    <t xml:space="preserve">Source</t>
  </si>
  <si>
    <t xml:space="preserve">Customers, numbers and policies are fictional, from the challenge brief. Plan names and downgrade prices are assumptions.</t>
  </si>
  <si>
    <t xml:space="preserve">Triage: what I do first, who owns it, by when</t>
  </si>
  <si>
    <t xml:space="preserve">Ranked by slack (days left vs work still needed) x ARR at risk. Linked to Pipeline: change a rank there and this list re-sorts.</t>
  </si>
  <si>
    <t xml:space="preserve">Rank</t>
  </si>
  <si>
    <t xml:space="preserve">Customer</t>
  </si>
  <si>
    <t xml:space="preserve">ARR (€)</t>
  </si>
  <si>
    <t xml:space="preserve">Renewal date</t>
  </si>
  <si>
    <t xml:space="preserve">Days</t>
  </si>
  <si>
    <t xml:space="preserve">Renewal Status</t>
  </si>
  <si>
    <t xml:space="preserve">Why first</t>
  </si>
  <si>
    <t xml:space="preserve">Next action</t>
  </si>
  <si>
    <t xml:space="preserve">Owner</t>
  </si>
  <si>
    <t xml:space="preserve">Who does what</t>
  </si>
  <si>
    <t xml:space="preserve">Due</t>
  </si>
  <si>
    <t xml:space="preserve">Escalate today</t>
  </si>
  <si>
    <t xml:space="preserve">Escalations today</t>
  </si>
  <si>
    <t xml:space="preserve">Process</t>
  </si>
  <si>
    <t xml:space="preserve">5 of 7 manual renewals inside 60 days have no quote on record (policy: quote at 60 days). Raise with my manager: 60-day quote task in the CRM, and the daily renewal alert (Part 3) drafting the renewal email with the quotation.</t>
  </si>
  <si>
    <t xml:space="preserve">Q4 2026 renewal pipeline: first slice (10 renewals, €375k ARR)</t>
  </si>
  <si>
    <t xml:space="preserve">Target date</t>
  </si>
  <si>
    <t xml:space="preserve">Blue on yellow = input. Everything else is a formula. Columns AF-AJ: the forecast on 30 Oct, with this week's actions (green) and with no action (red).</t>
  </si>
  <si>
    <t xml:space="preserve">Base ARR (€)</t>
  </si>
  <si>
    <t xml:space="preserve">Type</t>
  </si>
  <si>
    <t xml:space="preserve">Usage 90d</t>
  </si>
  <si>
    <t xml:space="preserve">Health</t>
  </si>
  <si>
    <t xml:space="preserve">Blocker</t>
  </si>
  <si>
    <t xml:space="preserve">Expected close</t>
  </si>
  <si>
    <t xml:space="preserve">Days to renewal</t>
  </si>
  <si>
    <t xml:space="preserve">Window</t>
  </si>
  <si>
    <t xml:space="preserve">Overdue?</t>
  </si>
  <si>
    <t xml:space="preserve">Month</t>
  </si>
  <si>
    <t xml:space="preserve">Quarter</t>
  </si>
  <si>
    <t xml:space="preserve">Quarter end</t>
  </si>
  <si>
    <t xml:space="preserve">Counts in quarter?</t>
  </si>
  <si>
    <t xml:space="preserve">Forecast prob.</t>
  </si>
  <si>
    <t xml:space="preserve">New ARR (€)</t>
  </si>
  <si>
    <t xml:space="preserve">Weighted new ARR (€)</t>
  </si>
  <si>
    <t xml:space="preserve">Forecast bucket</t>
  </si>
  <si>
    <t xml:space="preserve">Notice period (days)</t>
  </si>
  <si>
    <t xml:space="preserve">Notice deadline</t>
  </si>
  <si>
    <t xml:space="preserve">Usage signal</t>
  </si>
  <si>
    <t xml:space="preserve">Target status by 30 Oct</t>
  </si>
  <si>
    <t xml:space="preserve">Target prob.</t>
  </si>
  <si>
    <t xml:space="preserve">Weighted after actions (€)</t>
  </si>
  <si>
    <t xml:space="preserve">No-action prob. (30 Oct)</t>
  </si>
  <si>
    <t xml:space="preserve">Weighted, no action (€)</t>
  </si>
  <si>
    <t xml:space="preserve">Vantage Freight</t>
  </si>
  <si>
    <t xml:space="preserve">Manual</t>
  </si>
  <si>
    <t xml:space="preserve">Yellow</t>
  </si>
  <si>
    <t xml:space="preserve">Quoted</t>
  </si>
  <si>
    <t xml:space="preserve">No named contact (shared inbox)</t>
  </si>
  <si>
    <t xml:space="preserve">CSM looks up the instance owner and admin users (names, emails) in product data, to replace the shared inbox; I call and email the named person and agree a signing date. Manager confirms the grace period before access is restricted.</t>
  </si>
  <si>
    <t xml:space="preserve">Me</t>
  </si>
  <si>
    <t xml:space="preserve">Already overdue. The blocker is a shared inbox, not price: find a named person.</t>
  </si>
  <si>
    <t xml:space="preserve">CSM: finds the instance owner and admins
Me: calls them and agrees a signing date
Manager: confirms the grace period</t>
  </si>
  <si>
    <t xml:space="preserve">Yes: Manager, to agree the grace period before access is restricted</t>
  </si>
  <si>
    <t xml:space="preserve">Waiting for PO</t>
  </si>
  <si>
    <t xml:space="preserve">Northwind Logistics</t>
  </si>
  <si>
    <t xml:space="preserve">Green</t>
  </si>
  <si>
    <t xml:space="preserve">Engaging customer</t>
  </si>
  <si>
    <t xml:space="preserve">No quote sent; signatory unknown; signed 3 days late last year</t>
  </si>
  <si>
    <t xml:space="preserve">Quote and order form out today at €48k for e-signature; champion confirms signatory and PO need; signature booked for 27 Oct.</t>
  </si>
  <si>
    <t xml:space="preserve">Biggest near-term ARR, 9 days out, no quote, signed 3 days late last year. One hour of work removes most of the risk.</t>
  </si>
  <si>
    <t xml:space="preserve">Me: quote, order form, signatory, signature on 27 Oct</t>
  </si>
  <si>
    <t xml:space="preserve">PO received</t>
  </si>
  <si>
    <t xml:space="preserve">Pixelforge</t>
  </si>
  <si>
    <t xml:space="preserve">Auto</t>
  </si>
  <si>
    <t xml:space="preserve">Billing blocker</t>
  </si>
  <si>
    <t xml:space="preserve">Card expired; billing contact unknown</t>
  </si>
  <si>
    <t xml:space="preserve">CSM gets the billing contact today; I send a secure card-update link or switch to invoice; Finance pauses the automatic failed-payment process (reminders, retries, suspension) until the card is fixed. Renews at €26k (renewal value).</t>
  </si>
  <si>
    <t xml:space="preserve">CSM</t>
  </si>
  <si>
    <t xml:space="preserve">Auto-renewal fails in 13 days on an expired card: involuntary churn on a green account.</t>
  </si>
  <si>
    <t xml:space="preserve">CSM: finds the billing contact
Me: card-update link or switch to invoice
Finance: pauses the failed-payment process</t>
  </si>
  <si>
    <t xml:space="preserve">Renewing: no blockers</t>
  </si>
  <si>
    <t xml:space="preserve">Halden Health</t>
  </si>
  <si>
    <t xml:space="preserve">Red</t>
  </si>
  <si>
    <t xml:space="preserve">Not started</t>
  </si>
  <si>
    <t xml:space="preserve">Champion left; new owner unknown</t>
  </si>
  <si>
    <t xml:space="preserve">ESCALATE TODAY. CSM, me and exec sponsor meet the new owner this week. Legal checks the 8 Oct notice date. Right-sized option ready.</t>
  </si>
  <si>
    <t xml:space="preserve">Red, usage -35%, champion gone, new owner unknown, 18 days left.</t>
  </si>
  <si>
    <t xml:space="preserve">CSM (lead): meets the new owner, value review
Exec sponsor: joins that meeting
Legal: checks the 8 Oct notice date
Me: escalates, prepares the right-sized option</t>
  </si>
  <si>
    <t xml:space="preserve">Yes: Manager + VP CS, exec sponsor meeting with the new owner this week</t>
  </si>
  <si>
    <t xml:space="preserve">Brightloop</t>
  </si>
  <si>
    <t xml:space="preserve">Negotiation</t>
  </si>
  <si>
    <t xml:space="preserve">Procurement asks: 25% off, net 60, no auto-renew, 3-month TfC</t>
  </si>
  <si>
    <t xml:space="preserve">Reply to Sam today; Finance pre-approval (up to 12% on 2 years, net 60); call with Sam and Priya this week. Target signature 30 Nov.</t>
  </si>
  <si>
    <t xml:space="preserve">Live negotiation; procurement sets the pace. Reply and pre-approvals today.</t>
  </si>
  <si>
    <t xml:space="preserve">Me: reply to Sam, the call, the order form
Finance: pre-approves up to 12% and net 60
VP CS: pre-approves the buffer</t>
  </si>
  <si>
    <t xml:space="preserve">Tessera Finance</t>
  </si>
  <si>
    <t xml:space="preserve">MSA redlines open since Sep; security review</t>
  </si>
  <si>
    <t xml:space="preserve">ESCALATE TODAY to Legal: redline response by 30 Oct. List PO-blocking redlines, agree positions; joint redline call. Quote + security pack today. Fallback: 1-2 month extension if MSA not signed by 18 Nov.</t>
  </si>
  <si>
    <t xml:space="preserve">Legal</t>
  </si>
  <si>
    <t xml:space="preserve">MSA redlines open since September and a security review can block the PO; 29 days left.</t>
  </si>
  <si>
    <t xml:space="preserve">Legal (lead): positions on PO-blocking redlines, joint call, response by 30 Oct
Me: redline list, quote and security pack, runs the timeline
Finance + Legal: approve the extension fallback</t>
  </si>
  <si>
    <t xml:space="preserve">Yes: Legal lead, redline response by 30 Oct; extension fallback approved</t>
  </si>
  <si>
    <t xml:space="preserve">Lumen Retail</t>
  </si>
  <si>
    <t xml:space="preserve">Invoice to a different legal entity</t>
  </si>
  <si>
    <t xml:space="preserve">New entity details (name, VAT, address); Legal: billing change or assignment; Finance updates billing before the invoice run. Cancellation deadline 22 Oct (assumed 30 days).</t>
  </si>
  <si>
    <t xml:space="preserve">Auto-renewal would invoice the wrong legal entity; cancellation deadline 22 Oct (assumed 30-day notice).</t>
  </si>
  <si>
    <t xml:space="preserve">Me: gets the new entity's details
Legal: billing change or assignment
Finance: updates billing before the invoice run</t>
  </si>
  <si>
    <t xml:space="preserve">Kestrel Analytics</t>
  </si>
  <si>
    <t xml:space="preserve">Close to execution cap</t>
  </si>
  <si>
    <t xml:space="preserve">CSM usage review and approves the tier; one quote with renewal (€35k like-for-like) and upsell (next tier) as separate lines; upsell on its own linked Upsell opportunity.</t>
  </si>
  <si>
    <t xml:space="preserve">Usage +40%, near the execution cap: expansion, and a throttling risk.</t>
  </si>
  <si>
    <t xml:space="preserve">CSM: usage review, approves the tier
Me: one quote, renewal and upsell on separate lines; upsell opportunity</t>
  </si>
  <si>
    <t xml:space="preserve">Marlowe Insurance</t>
  </si>
  <si>
    <t xml:space="preserve">Vendor questionnaire + DPA needed for PO</t>
  </si>
  <si>
    <t xml:space="preserve">Quote sent with standard DPA and questionnaire (AI first draft, Security reviews) by 27 Oct. Work back from their PO lead time.</t>
  </si>
  <si>
    <t xml:space="preserve">Insurance procurement is slow; no DPA and questionnaire means no PO.</t>
  </si>
  <si>
    <t xml:space="preserve">Me: quote, questionnaire, PO lead time
Security: reviews the questionnaire answers
Legal: the DPA</t>
  </si>
  <si>
    <t xml:space="preserve">Quanta Labs</t>
  </si>
  <si>
    <t xml:space="preserve">At risk: before notice deadline</t>
  </si>
  <si>
    <t xml:space="preserve">Budget cuts in Q1; 2 check-ins unanswered</t>
  </si>
  <si>
    <t xml:space="preserve">CSM and exec sponsor via a new contact; I confirm the ~19 Nov notice date; offer right-sizing or a 2-year price lock before they cancel.</t>
  </si>
  <si>
    <t xml:space="preserve">Auto-renewal, usage -20%, Q1 budget cuts, unresponsive. 60 days, but the notice deadline is ~19 Nov (assumed 30-day notice).</t>
  </si>
  <si>
    <t xml:space="preserve">CSM + exec sponsor: reach a new contact
Me: confirms the notice date, offers the lock or right-size</t>
  </si>
  <si>
    <t xml:space="preserve">Total</t>
  </si>
  <si>
    <t xml:space="preserve">Q4 forecast vs €375k base ARR</t>
  </si>
  <si>
    <t xml:space="preserve">Bucket</t>
  </si>
  <si>
    <t xml:space="preserve">Unweighted new ARR (€)</t>
  </si>
  <si>
    <t xml:space="preserve">Accounts</t>
  </si>
  <si>
    <t xml:space="preserve">On time</t>
  </si>
  <si>
    <t xml:space="preserve">Late, still in quarter</t>
  </si>
  <si>
    <t xml:space="preserve">Slips past quarter end (0%)</t>
  </si>
  <si>
    <t xml:space="preserve">Total forecast (weighted)</t>
  </si>
  <si>
    <t xml:space="preserve">Lost (from product lines)</t>
  </si>
  <si>
    <t xml:space="preserve">Regrettable churn / contraction</t>
  </si>
  <si>
    <t xml:space="preserve">Non-regrettable churn (revenue kept)</t>
  </si>
  <si>
    <t xml:space="preserve">Price concession (discount)</t>
  </si>
  <si>
    <t xml:space="preserve">Gross retention (base less regrettable churn and concessions)</t>
  </si>
  <si>
    <t xml:space="preserve">Net retention (new ARR / base)</t>
  </si>
  <si>
    <t xml:space="preserve">Weighted today (statuses from what we know)</t>
  </si>
  <si>
    <t xml:space="preserve">Weighted by 30 Oct, if this week's actions land</t>
  </si>
  <si>
    <t xml:space="preserve">Gain from this week's actions</t>
  </si>
  <si>
    <t xml:space="preserve">Weighted by 30 Oct with no action (statuses stay, the countdown runs)</t>
  </si>
  <si>
    <t xml:space="preserve">Cost of doing nothing (vs today)</t>
  </si>
  <si>
    <t xml:space="preserve">Action power: with actions vs no action on 30 Oct</t>
  </si>
  <si>
    <t xml:space="preserve">Opportunity products: the Renewals Manager only sets the line type and the new numbers; everything else recalculates</t>
  </si>
  <si>
    <t xml:space="preserve">Renewals Manager inputs (yellow): line type and change at list. Original ARR is the renewal value and already includes the 5% uplift (applied when the renewal opportunity is created), so nothing is added on top. On multi-year deals paid upfront the price is locked from year 2 (no further uplift); paid annually, 5% applies every year. An Upsell line opens a linked Upsell opportunity so expansion is forecast separately. Churn category and reason live on the opportunity.</t>
  </si>
  <si>
    <t xml:space="preserve">Opportunity</t>
  </si>
  <si>
    <t xml:space="preserve">Product</t>
  </si>
  <si>
    <t xml:space="preserve">Line type</t>
  </si>
  <si>
    <t xml:space="preserve">Term (yrs)</t>
  </si>
  <si>
    <t xml:space="preserve">Payment</t>
  </si>
  <si>
    <t xml:space="preserve">Original ARR (€)</t>
  </si>
  <si>
    <t xml:space="preserve">Change at list (€)</t>
  </si>
  <si>
    <t xml:space="preserve">Extra uplift %</t>
  </si>
  <si>
    <t xml:space="preserve">Discount %</t>
  </si>
  <si>
    <t xml:space="preserve">List renewal price (€)</t>
  </si>
  <si>
    <t xml:space="preserve">Δ vs original (€)</t>
  </si>
  <si>
    <t xml:space="preserve">Δ %</t>
  </si>
  <si>
    <t xml:space="preserve">Approval needed</t>
  </si>
  <si>
    <t xml:space="preserve">Year 2+ uplift</t>
  </si>
  <si>
    <t xml:space="preserve">Note</t>
  </si>
  <si>
    <t xml:space="preserve">n8n Cloud Business</t>
  </si>
  <si>
    <t xml:space="preserve">Renewal</t>
  </si>
  <si>
    <t xml:space="preserve">Annual</t>
  </si>
  <si>
    <t xml:space="preserve">Quote of 1 Sep at the renewal value</t>
  </si>
  <si>
    <t xml:space="preserve">n8n Cloud Enterprise</t>
  </si>
  <si>
    <t xml:space="preserve">Usage +12%: check cap next quarter</t>
  </si>
  <si>
    <t xml:space="preserve">Renewal value; the contractual uplift is already in it</t>
  </si>
  <si>
    <t xml:space="preserve">n8n Enterprise (self-hosted)</t>
  </si>
  <si>
    <t xml:space="preserve">Downgrade</t>
  </si>
  <si>
    <t xml:space="preserve">Right-sized at list (assumed €30k)</t>
  </si>
  <si>
    <t xml:space="preserve">n8n Enterprise</t>
  </si>
  <si>
    <t xml:space="preserve">Ramp year 1: 10% off; year 2 €35,910</t>
  </si>
  <si>
    <t xml:space="preserve">Bill to new legal entity</t>
  </si>
  <si>
    <t xml:space="preserve">Commit line</t>
  </si>
  <si>
    <t xml:space="preserve">Next execution tier</t>
  </si>
  <si>
    <t xml:space="preserve">Upsell</t>
  </si>
  <si>
    <t xml:space="preserve">Opens a linked Upsell opportunity (upside)</t>
  </si>
  <si>
    <t xml:space="preserve">Right-sized in line with -20% usage</t>
  </si>
  <si>
    <t xml:space="preserve">Assumptions</t>
  </si>
  <si>
    <t xml:space="preserve">Plan names and downgrade prices are assumptions: n8n does not publish self-hosted Enterprise prices. A year-1 uplift waiver is an exception (e.g. three years paid upfront) and counts as a discount under policy C.</t>
  </si>
  <si>
    <t xml:space="preserve">Opportunity roll-up: calculated from product lines; churn category and reason set on the opportunity</t>
  </si>
  <si>
    <t xml:space="preserve">Extra uplift (€)</t>
  </si>
  <si>
    <t xml:space="preserve">Upsell (€) → Upsell opp</t>
  </si>
  <si>
    <t xml:space="preserve">Churned amount (€)</t>
  </si>
  <si>
    <t xml:space="preserve">Churn category</t>
  </si>
  <si>
    <t xml:space="preserve">Churn reason</t>
  </si>
  <si>
    <t xml:space="preserve">Price concession below current (€)</t>
  </si>
  <si>
    <t xml:space="preserve">Net change (€)</t>
  </si>
  <si>
    <t xml:space="preserve">Net change %</t>
  </si>
  <si>
    <t xml:space="preserve">Regrettable</t>
  </si>
  <si>
    <t xml:space="preserve">Low adoption / champion left</t>
  </si>
  <si>
    <t xml:space="preserve">Budget cut</t>
  </si>
  <si>
    <t xml:space="preserve">(linked to Pipeline)</t>
  </si>
  <si>
    <t xml:space="preserve">Churn reasons</t>
  </si>
  <si>
    <t xml:space="preserve">Regrettable: Budget cut · Regrettable: Price · Regrettable: Competitor · Regrettable: Moved to free Community edition · Regrettable: Product gaps · Regrettable: Support or service · Regrettable: Low adoption / champion left · Regrettable: Company closed · Non-regrettable: Migrated to another n8n product · Non-regrettable: Consolidated into another n8n contract · Non-regrettable: Moved to another legal entity</t>
  </si>
  <si>
    <t xml:space="preserve">Missing reason</t>
  </si>
  <si>
    <t xml:space="preserve">Check: new ARR ties to Pipeline</t>
  </si>
  <si>
    <t xml:space="preserve">Renewals by quarter and month (by renewal date)</t>
  </si>
  <si>
    <t xml:space="preserve"># renewals</t>
  </si>
  <si>
    <t xml:space="preserve">Weighted (€)</t>
  </si>
  <si>
    <t xml:space="preserve">On time, weighted (€)</t>
  </si>
  <si>
    <t xml:space="preserve">Late, weighted (€)</t>
  </si>
  <si>
    <t xml:space="preserve">Overdue ARR (€)</t>
  </si>
  <si>
    <t xml:space="preserve">Regrettable churn (€)</t>
  </si>
  <si>
    <t xml:space="preserve">Q4 2026</t>
  </si>
  <si>
    <t xml:space="preserve">2026-10</t>
  </si>
  <si>
    <t xml:space="preserve">2026-11</t>
  </si>
  <si>
    <t xml:space="preserve">2026-12</t>
  </si>
  <si>
    <t xml:space="preserve">Q4 2026 total</t>
  </si>
  <si>
    <t xml:space="preserve">Renewal probability: Renewal Status x days to renewal</t>
  </si>
  <si>
    <t xml:space="preserve">Manual: late statuses (Quoted and after) rise as the date gets closer; early statuses fall. Auto-renewal: a clean renewal rises; an open blocker or risk falls as the date gets closer. Blue = editable.</t>
  </si>
  <si>
    <t xml:space="preserve">Overdue</t>
  </si>
  <si>
    <t xml:space="preserve">0-30</t>
  </si>
  <si>
    <t xml:space="preserve">31-60</t>
  </si>
  <si>
    <t xml:space="preserve">61-90</t>
  </si>
  <si>
    <t xml:space="preserve">&gt;90</t>
  </si>
  <si>
    <t xml:space="preserve">Exit criteria (what must be true to be in this status)</t>
  </si>
  <si>
    <t xml:space="preserve">Applies to</t>
  </si>
  <si>
    <t xml:space="preserve">--None--</t>
  </si>
  <si>
    <t xml:space="preserve">Not allowed. Every open renewal must have a status.</t>
  </si>
  <si>
    <t xml:space="preserve">Renewal opportunity exists; no customer contact about the renewal yet.</t>
  </si>
  <si>
    <t xml:space="preserve">Decision maker and signatory known; renewal timeline agreed.</t>
  </si>
  <si>
    <t xml:space="preserve">Commercial terms under discussion; customer asks are in writing.</t>
  </si>
  <si>
    <t xml:space="preserve">Final quote and order form sent and accepted by the champion.</t>
  </si>
  <si>
    <t xml:space="preserve">Order form approved by the buyer; in their PO or signature workflow.</t>
  </si>
  <si>
    <t xml:space="preserve">PO or signature in hand; only booking and invoicing remain.</t>
  </si>
  <si>
    <t xml:space="preserve">Closed won</t>
  </si>
  <si>
    <t xml:space="preserve">Signed, booked, invoiced. (Suggested addition to the picklist.)</t>
  </si>
  <si>
    <t xml:space="preserve">Cancelled</t>
  </si>
  <si>
    <t xml:space="preserve">Customer gave notice or will not renew.</t>
  </si>
  <si>
    <t xml:space="preserve">Both</t>
  </si>
  <si>
    <t xml:space="preserve">Valid payment method, correct billing entity, usage stable or growing. (Overdue = payment failed: move to Billing blocker.)</t>
  </si>
  <si>
    <t xml:space="preserve">Expired card, wrong legal entity, PO required. Admin fix, usually recoverable.</t>
  </si>
  <si>
    <t xml:space="preserve">Usage down 20%+, silence or budget cuts, and the customer can still give notice.</t>
  </si>
  <si>
    <t xml:space="preserve">At risk: notice deadline passed</t>
  </si>
  <si>
    <t xml:space="preserve">Same signals, but no notice was given: the contract has renewed. Risk shifts to payment.</t>
  </si>
  <si>
    <t xml:space="preserve">Notice received</t>
  </si>
  <si>
    <t xml:space="preserve">Customer gave non-renewal or downgrade notice. Becomes a manual save negotiation.</t>
  </si>
  <si>
    <t xml:space="preserve">Renewed</t>
  </si>
  <si>
    <t xml:space="preserve">Invoiced and paid.</t>
  </si>
  <si>
    <t xml:space="preserve">Overdue renewals use the Overdue column and are shown as Late. They still count in the quarter's forecast only if the expected close date is on or before quarter end. If they slip past quarter end they count 0% for that quarter and come back next quarter as a late renewal.</t>
  </si>
  <si>
    <t xml:space="preserve">n8n prices by workflow executions (users are unlimited). Usage +20% or more: renew as is, open an Upsell opportunity and a CSM + Renewals task; never auto-charge unless the contract has an overage clause. Usage -20% or more: flag the CSM for an adoption plan; on an auto-renewal, set At risk.</t>
  </si>
  <si>
    <t xml:space="preserve">Commercial policy (section C) and the approval it triggers</t>
  </si>
  <si>
    <t xml:space="preserve">Topic</t>
  </si>
  <si>
    <t xml:space="preserve">Standard</t>
  </si>
  <si>
    <t xml:space="preserve">Needs approval</t>
  </si>
  <si>
    <t xml:space="preserve">Discount on renewal</t>
  </si>
  <si>
    <t xml:space="preserve">Up to 5% for a 2-year commitment; none for 1 year</t>
  </si>
  <si>
    <t xml:space="preserve">6-12%: Finance. Above 12%: VP Customer Success</t>
  </si>
  <si>
    <t xml:space="preserve">Payment terms</t>
  </si>
  <si>
    <t xml:space="preserve">Net 30</t>
  </si>
  <si>
    <t xml:space="preserve">Net 45: allowed. Net 60+: Finance</t>
  </si>
  <si>
    <t xml:space="preserve">Auto-renewal clause</t>
  </si>
  <si>
    <t xml:space="preserve">Required in all order forms</t>
  </si>
  <si>
    <t xml:space="preserve">Waiver: Legal + VP Customer Success</t>
  </si>
  <si>
    <t xml:space="preserve">Termination for convenience</t>
  </si>
  <si>
    <t xml:space="preserve">Not offered</t>
  </si>
  <si>
    <t xml:space="preserve">Any such right: Legal, normally declined</t>
  </si>
  <si>
    <t xml:space="preserve">Allowed at renewal, list price of the new plan</t>
  </si>
  <si>
    <t xml:space="preserve">None</t>
  </si>
  <si>
    <t xml:space="preserve">Price uplift</t>
  </si>
  <si>
    <t xml:space="preserve">5% on 1-year renewals</t>
  </si>
  <si>
    <t xml:space="preserve">Waiving it counts as a discount</t>
  </si>
  <si>
    <t xml:space="preserve">Quote lead time</t>
  </si>
  <si>
    <t xml:space="preserve">Quote sent 60 days before expiry</t>
  </si>
  <si>
    <t xml:space="preserve">n/a</t>
  </si>
</sst>
</file>

<file path=xl/styles.xml><?xml version="1.0" encoding="utf-8"?>
<styleSheet xmlns="http://schemas.openxmlformats.org/spreadsheetml/2006/main">
  <numFmts count="7">
    <numFmt numFmtId="164" formatCode="General"/>
    <numFmt numFmtId="165" formatCode="General"/>
    <numFmt numFmtId="166" formatCode="\€#,##0;[RED]&quot;-€&quot;#,##0;\-"/>
    <numFmt numFmtId="167" formatCode="dd\ mmm\ yyyy"/>
    <numFmt numFmtId="168" formatCode="0%;[RED]\-0%;\-"/>
    <numFmt numFmtId="169" formatCode="0.0%"/>
    <numFmt numFmtId="170" formatCode="0%"/>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1"/>
      <color theme="1"/>
      <name val="Arial"/>
      <family val="0"/>
      <charset val="1"/>
    </font>
    <font>
      <b val="true"/>
      <sz val="13"/>
      <name val="Arial"/>
      <family val="0"/>
      <charset val="1"/>
    </font>
    <font>
      <i val="true"/>
      <sz val="11"/>
      <name val="Arial"/>
      <family val="0"/>
      <charset val="1"/>
    </font>
    <font>
      <b val="true"/>
      <sz val="11"/>
      <color rgb="FFFFFFFF"/>
      <name val="Arial"/>
      <family val="0"/>
      <charset val="1"/>
    </font>
    <font>
      <sz val="11"/>
      <color rgb="FF0000FF"/>
      <name val="Arial"/>
      <family val="0"/>
      <charset val="1"/>
    </font>
    <font>
      <b val="true"/>
      <sz val="12"/>
      <name val="Arial"/>
      <family val="0"/>
      <charset val="1"/>
    </font>
    <font>
      <sz val="11"/>
      <color rgb="FF008000"/>
      <name val="Arial"/>
      <family val="0"/>
      <charset val="1"/>
    </font>
    <font>
      <sz val="10"/>
      <name val="Arial"/>
      <family val="2"/>
    </font>
    <font>
      <i val="true"/>
      <sz val="11"/>
      <color rgb="FF888888"/>
      <name val="Arial"/>
      <family val="0"/>
      <charset val="1"/>
    </font>
  </fonts>
  <fills count="6">
    <fill>
      <patternFill patternType="none"/>
    </fill>
    <fill>
      <patternFill patternType="gray125"/>
    </fill>
    <fill>
      <patternFill patternType="solid">
        <fgColor rgb="FF2B2B3C"/>
        <bgColor rgb="FF333300"/>
      </patternFill>
    </fill>
    <fill>
      <patternFill patternType="solid">
        <fgColor rgb="FFFFF2CC"/>
        <bgColor rgb="FFFFF3CD"/>
      </patternFill>
    </fill>
    <fill>
      <patternFill patternType="solid">
        <fgColor rgb="FFD4EDDA"/>
        <bgColor rgb="FFCCFFFF"/>
      </patternFill>
    </fill>
    <fill>
      <patternFill patternType="solid">
        <fgColor rgb="FFF8D7DA"/>
        <bgColor rgb="FFFFF2CC"/>
      </patternFill>
    </fill>
  </fills>
  <borders count="2">
    <border diagonalUp="false" diagonalDown="false">
      <left/>
      <right/>
      <top/>
      <bottom/>
      <diagonal/>
    </border>
    <border diagonalUp="false" diagonalDown="false">
      <left style="thin">
        <color rgb="FFD0D0D8"/>
      </left>
      <right style="thin">
        <color rgb="FFD0D0D8"/>
      </right>
      <top style="thin">
        <color rgb="FFD0D0D8"/>
      </top>
      <bottom style="thin">
        <color rgb="FFD0D0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67"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7" fontId="10" fillId="3"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7" fontId="10" fillId="3"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8" fontId="10" fillId="3"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6" fontId="6" fillId="4" borderId="1" xfId="0" applyFont="true" applyBorder="true" applyAlignment="false" applyProtection="false">
      <alignment horizontal="general" vertical="bottom" textRotation="0" wrapText="false" indent="0" shrinkToFit="false"/>
      <protection locked="true" hidden="false"/>
    </xf>
    <xf numFmtId="166" fontId="6" fillId="5" borderId="1" xfId="0" applyFont="true" applyBorder="tru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6" fontId="5" fillId="4"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70" fontId="10"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rial"/>
        <charset val="1"/>
        <family val="0"/>
        <b val="1"/>
        <color rgb="FF9C0006"/>
      </font>
      <fill>
        <patternFill>
          <bgColor rgb="FFF8D7DA"/>
        </patternFill>
      </fill>
    </dxf>
    <dxf>
      <fill>
        <patternFill>
          <bgColor rgb="FFF8D7DA"/>
        </patternFill>
      </fill>
    </dxf>
    <dxf>
      <fill>
        <patternFill>
          <bgColor rgb="FFFFF3CD"/>
        </patternFill>
      </fill>
    </dxf>
    <dxf>
      <fill>
        <patternFill>
          <bgColor rgb="FFD4EDDA"/>
        </patternFill>
      </fill>
    </dxf>
    <dxf>
      <font>
        <name val="Arial"/>
        <charset val="1"/>
        <family val="0"/>
        <b val="1"/>
        <color rgb="FF006100"/>
      </font>
      <fill>
        <patternFill>
          <bgColor rgb="FFD4EDDA"/>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88888"/>
      <rgbColor rgb="FF9999FF"/>
      <rgbColor rgb="FF993366"/>
      <rgbColor rgb="FFFFF3CD"/>
      <rgbColor rgb="FFCCFFFF"/>
      <rgbColor rgb="FF660066"/>
      <rgbColor rgb="FFFF8080"/>
      <rgbColor rgb="FF0066CC"/>
      <rgbColor rgb="FFD0D0D8"/>
      <rgbColor rgb="FF000080"/>
      <rgbColor rgb="FFFF00FF"/>
      <rgbColor rgb="FFFFFF00"/>
      <rgbColor rgb="FF00FFFF"/>
      <rgbColor rgb="FF800080"/>
      <rgbColor rgb="FF800000"/>
      <rgbColor rgb="FF008080"/>
      <rgbColor rgb="FF0000FF"/>
      <rgbColor rgb="FF00CCFF"/>
      <rgbColor rgb="FFCCFFFF"/>
      <rgbColor rgb="FFD4EDDA"/>
      <rgbColor rgb="FFFFF2CC"/>
      <rgbColor rgb="FF99CCFF"/>
      <rgbColor rgb="FFFF99CC"/>
      <rgbColor rgb="FFCC99FF"/>
      <rgbColor rgb="FFF8D7DA"/>
      <rgbColor rgb="FF3366FF"/>
      <rgbColor rgb="FF33CCCC"/>
      <rgbColor rgb="FF99CC00"/>
      <rgbColor rgb="FFFFCC00"/>
      <rgbColor rgb="FFFF9900"/>
      <rgbColor rgb="FFFF6600"/>
      <rgbColor rgb="FF666699"/>
      <rgbColor rgb="FF969696"/>
      <rgbColor rgb="FF003366"/>
      <rgbColor rgb="FF339966"/>
      <rgbColor rgb="FF006100"/>
      <rgbColor rgb="FF333300"/>
      <rgbColor rgb="FF993300"/>
      <rgbColor rgb="FF993366"/>
      <rgbColor rgb="FF333399"/>
      <rgbColor rgb="FF2B2B3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0"/>
  </cols>
  <sheetData>
    <row r="1" customFormat="false" ht="17.35" hidden="false" customHeight="false" outlineLevel="0" collapsed="false">
      <c r="A1" s="1" t="s">
        <v>0</v>
      </c>
    </row>
    <row r="3" customFormat="false" ht="31.5" hidden="false" customHeight="true" outlineLevel="0" collapsed="false">
      <c r="A3" s="2" t="s">
        <v>1</v>
      </c>
      <c r="B3" s="3" t="s">
        <v>2</v>
      </c>
    </row>
    <row r="4" customFormat="false" ht="31.5" hidden="false" customHeight="true" outlineLevel="0" collapsed="false">
      <c r="A4" s="2" t="s">
        <v>3</v>
      </c>
      <c r="B4" s="3" t="s">
        <v>4</v>
      </c>
    </row>
    <row r="5" customFormat="false" ht="31.5" hidden="false" customHeight="true" outlineLevel="0" collapsed="false">
      <c r="A5" s="2" t="s">
        <v>5</v>
      </c>
      <c r="B5" s="3" t="s">
        <v>6</v>
      </c>
    </row>
    <row r="6" customFormat="false" ht="31.5" hidden="false" customHeight="true" outlineLevel="0" collapsed="false">
      <c r="A6" s="2" t="s">
        <v>7</v>
      </c>
      <c r="B6" s="3" t="s">
        <v>8</v>
      </c>
    </row>
    <row r="7" customFormat="false" ht="31.5" hidden="false" customHeight="true" outlineLevel="0" collapsed="false">
      <c r="A7" s="2" t="s">
        <v>9</v>
      </c>
      <c r="B7" s="3" t="s">
        <v>10</v>
      </c>
    </row>
    <row r="8" customFormat="false" ht="31.5" hidden="false" customHeight="true" outlineLevel="0" collapsed="false">
      <c r="A8" s="2" t="s">
        <v>11</v>
      </c>
      <c r="B8" s="3" t="s">
        <v>12</v>
      </c>
    </row>
    <row r="9" customFormat="false" ht="31.5" hidden="false" customHeight="true" outlineLevel="0" collapsed="false">
      <c r="A9" s="2" t="s">
        <v>13</v>
      </c>
      <c r="B9" s="3" t="s">
        <v>14</v>
      </c>
    </row>
    <row r="10" customFormat="false" ht="31.5" hidden="false" customHeight="true" outlineLevel="0" collapsed="false">
      <c r="A10" s="2" t="s">
        <v>15</v>
      </c>
      <c r="B10" s="3" t="s">
        <v>16</v>
      </c>
    </row>
    <row r="11" customFormat="false" ht="31.5" hidden="false" customHeight="true" outlineLevel="0" collapsed="false">
      <c r="A11" s="2" t="s">
        <v>17</v>
      </c>
      <c r="B11" s="3" t="s">
        <v>18</v>
      </c>
    </row>
    <row r="12" customFormat="false" ht="31.5" hidden="false" customHeight="true" outlineLevel="0" collapsed="false">
      <c r="A12" s="2" t="s">
        <v>19</v>
      </c>
      <c r="B12" s="3" t="s">
        <v>20</v>
      </c>
    </row>
    <row r="13" customFormat="false" ht="31.5" hidden="false" customHeight="true" outlineLevel="0" collapsed="false">
      <c r="A13" s="2" t="s">
        <v>21</v>
      </c>
      <c r="B13" s="3" t="s">
        <v>22</v>
      </c>
    </row>
    <row r="14" customFormat="false" ht="31.5" hidden="false" customHeight="true" outlineLevel="0" collapsed="false">
      <c r="A14" s="2" t="s">
        <v>23</v>
      </c>
      <c r="B14" s="3" t="s">
        <v>24</v>
      </c>
    </row>
    <row r="15" customFormat="false" ht="31.5" hidden="false" customHeight="true" outlineLevel="0" collapsed="false">
      <c r="A15" s="2" t="s">
        <v>25</v>
      </c>
      <c r="B15" s="3"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11"/>
    <col collapsed="false" customWidth="true" hidden="false" outlineLevel="0" max="4" min="4" style="0" width="13"/>
    <col collapsed="false" customWidth="true" hidden="false" outlineLevel="0" max="5" min="5" style="0" width="7"/>
    <col collapsed="false" customWidth="true" hidden="false" outlineLevel="0" max="6" min="6" style="0" width="17"/>
    <col collapsed="false" customWidth="true" hidden="false" outlineLevel="0" max="7" min="7" style="0" width="42"/>
    <col collapsed="false" customWidth="true" hidden="false" outlineLevel="0" max="8" min="8" style="0" width="60"/>
    <col collapsed="false" customWidth="true" hidden="false" outlineLevel="0" max="9" min="9" style="0" width="9"/>
    <col collapsed="false" customWidth="true" hidden="false" outlineLevel="0" max="10" min="10" style="0" width="48"/>
    <col collapsed="false" customWidth="true" hidden="false" outlineLevel="0" max="11" min="11" style="0" width="12"/>
    <col collapsed="false" customWidth="true" hidden="false" outlineLevel="0" max="12" min="12" style="0" width="40"/>
  </cols>
  <sheetData>
    <row r="1" customFormat="false" ht="16.15" hidden="false" customHeight="false" outlineLevel="0" collapsed="false">
      <c r="A1" s="4" t="s">
        <v>27</v>
      </c>
    </row>
    <row r="2" customFormat="false" ht="15" hidden="false" customHeight="false" outlineLevel="0" collapsed="false">
      <c r="A2" s="5" t="s">
        <v>28</v>
      </c>
    </row>
    <row r="4" customFormat="false" ht="31.5" hidden="false" customHeight="true" outlineLevel="0" collapsed="false">
      <c r="A4" s="6" t="s">
        <v>29</v>
      </c>
      <c r="B4" s="6" t="s">
        <v>30</v>
      </c>
      <c r="C4" s="6" t="s">
        <v>31</v>
      </c>
      <c r="D4" s="6" t="s">
        <v>32</v>
      </c>
      <c r="E4" s="6" t="s">
        <v>33</v>
      </c>
      <c r="F4" s="6" t="s">
        <v>34</v>
      </c>
      <c r="G4" s="6" t="s">
        <v>35</v>
      </c>
      <c r="H4" s="6" t="s">
        <v>36</v>
      </c>
      <c r="I4" s="6" t="s">
        <v>37</v>
      </c>
      <c r="J4" s="6" t="s">
        <v>38</v>
      </c>
      <c r="K4" s="6" t="s">
        <v>39</v>
      </c>
      <c r="L4" s="6" t="s">
        <v>40</v>
      </c>
    </row>
    <row r="5" customFormat="false" ht="61.5" hidden="false" customHeight="true" outlineLevel="0" collapsed="false">
      <c r="A5" s="7" t="n">
        <v>1</v>
      </c>
      <c r="B5" s="8" t="str">
        <f aca="false">INDEX(Pipeline!$A$5:$A$14,MATCH($A5,Pipeline!$Y$5:$Y$14,0))</f>
        <v>Northwind Logistics</v>
      </c>
      <c r="C5" s="9" t="n">
        <f aca="false">INDEX(Pipeline!$B$5:$B$14,MATCH($A5,Pipeline!$Y$5:$Y$14,0))</f>
        <v>48000</v>
      </c>
      <c r="D5" s="10" t="n">
        <f aca="false">INDEX(Pipeline!$C$5:$C$14,MATCH($A5,Pipeline!$Y$5:$Y$14,0))</f>
        <v>46324</v>
      </c>
      <c r="E5" s="8" t="n">
        <f aca="false">INDEX(Pipeline!$J$5:$J$14,MATCH($A5,Pipeline!$Y$5:$Y$14,0))</f>
        <v>9</v>
      </c>
      <c r="F5" s="8" t="str">
        <f aca="false">INDEX(Pipeline!$G$5:$G$14,MATCH($A5,Pipeline!$Y$5:$Y$14,0))</f>
        <v>Engaging customer</v>
      </c>
      <c r="G5" s="8" t="str">
        <f aca="false">INDEX(Pipeline!$Z$5:$Z$14,MATCH($A5,Pipeline!$Y$5:$Y$14,0))&amp;""</f>
        <v>Biggest near-term ARR, 9 days out, no quote, signed 3 days late last year. One hour of work removes most of the risk.</v>
      </c>
      <c r="H5" s="8" t="str">
        <f aca="false">INDEX(Pipeline!$V$5:$V$14,MATCH($A5,Pipeline!$Y$5:$Y$14,0))&amp;""</f>
        <v>Quote and order form out today at €48k for e-signature; champion confirms signatory and PO need; signature booked for 27 Oct.</v>
      </c>
      <c r="I5" s="8" t="str">
        <f aca="false">INDEX(Pipeline!$W$5:$W$14,MATCH($A5,Pipeline!$Y$5:$Y$14,0))</f>
        <v>Me</v>
      </c>
      <c r="J5" s="8" t="str">
        <f aca="false">INDEX(Pipeline!$AA$5:$AA$14,MATCH($A5,Pipeline!$Y$5:$Y$14,0))&amp;""</f>
        <v>Me: quote, order form, signatory, signature on 27 Oct</v>
      </c>
      <c r="K5" s="10" t="n">
        <f aca="false">INDEX(Pipeline!$X$5:$X$14,MATCH($A5,Pipeline!$Y$5:$Y$14,0))</f>
        <v>46315</v>
      </c>
      <c r="L5" s="11" t="str">
        <f aca="false">INDEX(Pipeline!$AB$5:$AB$14,MATCH($A5,Pipeline!$Y$5:$Y$14,0))&amp;""</f>
        <v/>
      </c>
    </row>
    <row r="6" customFormat="false" ht="61.5" hidden="false" customHeight="true" outlineLevel="0" collapsed="false">
      <c r="A6" s="7" t="n">
        <v>2</v>
      </c>
      <c r="B6" s="8" t="str">
        <f aca="false">INDEX(Pipeline!$A$5:$A$14,MATCH($A6,Pipeline!$Y$5:$Y$14,0))</f>
        <v>Vantage Freight</v>
      </c>
      <c r="C6" s="9" t="n">
        <f aca="false">INDEX(Pipeline!$B$5:$B$14,MATCH($A6,Pipeline!$Y$5:$Y$14,0))</f>
        <v>21000</v>
      </c>
      <c r="D6" s="10" t="n">
        <f aca="false">INDEX(Pipeline!$C$5:$C$14,MATCH($A6,Pipeline!$Y$5:$Y$14,0))</f>
        <v>46310</v>
      </c>
      <c r="E6" s="8" t="n">
        <f aca="false">INDEX(Pipeline!$J$5:$J$14,MATCH($A6,Pipeline!$Y$5:$Y$14,0))</f>
        <v>-5</v>
      </c>
      <c r="F6" s="8" t="str">
        <f aca="false">INDEX(Pipeline!$G$5:$G$14,MATCH($A6,Pipeline!$Y$5:$Y$14,0))</f>
        <v>Quoted</v>
      </c>
      <c r="G6" s="8" t="str">
        <f aca="false">INDEX(Pipeline!$Z$5:$Z$14,MATCH($A6,Pipeline!$Y$5:$Y$14,0))&amp;""</f>
        <v>Already overdue. The blocker is a shared inbox, not price: find a named person.</v>
      </c>
      <c r="H6" s="8" t="str">
        <f aca="false">INDEX(Pipeline!$V$5:$V$14,MATCH($A6,Pipeline!$Y$5:$Y$14,0))&amp;""</f>
        <v>CSM looks up the instance owner and admin users (names, emails) in product data, to replace the shared inbox; I call and email the named person and agree a signing date. Manager confirms the grace period before access is restricted.</v>
      </c>
      <c r="I6" s="8" t="str">
        <f aca="false">INDEX(Pipeline!$W$5:$W$14,MATCH($A6,Pipeline!$Y$5:$Y$14,0))</f>
        <v>Me</v>
      </c>
      <c r="J6" s="8" t="str">
        <f aca="false">INDEX(Pipeline!$AA$5:$AA$14,MATCH($A6,Pipeline!$Y$5:$Y$14,0))&amp;""</f>
        <v>CSM: finds the instance owner and admins
Me: calls them and agrees a signing date
Manager: confirms the grace period</v>
      </c>
      <c r="K6" s="10" t="n">
        <f aca="false">INDEX(Pipeline!$X$5:$X$14,MATCH($A6,Pipeline!$Y$5:$Y$14,0))</f>
        <v>46316</v>
      </c>
      <c r="L6" s="11" t="str">
        <f aca="false">INDEX(Pipeline!$AB$5:$AB$14,MATCH($A6,Pipeline!$Y$5:$Y$14,0))&amp;""</f>
        <v>Yes: Manager, to agree the grace period before access is restricted</v>
      </c>
    </row>
    <row r="7" customFormat="false" ht="61.5" hidden="false" customHeight="true" outlineLevel="0" collapsed="false">
      <c r="A7" s="7" t="n">
        <v>3</v>
      </c>
      <c r="B7" s="8" t="str">
        <f aca="false">INDEX(Pipeline!$A$5:$A$14,MATCH($A7,Pipeline!$Y$5:$Y$14,0))</f>
        <v>Pixelforge</v>
      </c>
      <c r="C7" s="9" t="n">
        <f aca="false">INDEX(Pipeline!$B$5:$B$14,MATCH($A7,Pipeline!$Y$5:$Y$14,0))</f>
        <v>26000</v>
      </c>
      <c r="D7" s="10" t="n">
        <f aca="false">INDEX(Pipeline!$C$5:$C$14,MATCH($A7,Pipeline!$Y$5:$Y$14,0))</f>
        <v>46328</v>
      </c>
      <c r="E7" s="8" t="n">
        <f aca="false">INDEX(Pipeline!$J$5:$J$14,MATCH($A7,Pipeline!$Y$5:$Y$14,0))</f>
        <v>13</v>
      </c>
      <c r="F7" s="8" t="str">
        <f aca="false">INDEX(Pipeline!$G$5:$G$14,MATCH($A7,Pipeline!$Y$5:$Y$14,0))</f>
        <v>Billing blocker</v>
      </c>
      <c r="G7" s="8" t="str">
        <f aca="false">INDEX(Pipeline!$Z$5:$Z$14,MATCH($A7,Pipeline!$Y$5:$Y$14,0))&amp;""</f>
        <v>Auto-renewal fails in 13 days on an expired card: involuntary churn on a green account.</v>
      </c>
      <c r="H7" s="8" t="str">
        <f aca="false">INDEX(Pipeline!$V$5:$V$14,MATCH($A7,Pipeline!$Y$5:$Y$14,0))&amp;""</f>
        <v>CSM gets the billing contact today; I send a secure card-update link or switch to invoice; Finance pauses the automatic failed-payment process (reminders, retries, suspension) until the card is fixed. Renews at €26k (renewal value).</v>
      </c>
      <c r="I7" s="8" t="str">
        <f aca="false">INDEX(Pipeline!$W$5:$W$14,MATCH($A7,Pipeline!$Y$5:$Y$14,0))</f>
        <v>CSM</v>
      </c>
      <c r="J7" s="8" t="str">
        <f aca="false">INDEX(Pipeline!$AA$5:$AA$14,MATCH($A7,Pipeline!$Y$5:$Y$14,0))&amp;""</f>
        <v>CSM: finds the billing contact
Me: card-update link or switch to invoice
Finance: pauses the failed-payment process</v>
      </c>
      <c r="K7" s="10" t="n">
        <f aca="false">INDEX(Pipeline!$X$5:$X$14,MATCH($A7,Pipeline!$Y$5:$Y$14,0))</f>
        <v>46317</v>
      </c>
      <c r="L7" s="11" t="str">
        <f aca="false">INDEX(Pipeline!$AB$5:$AB$14,MATCH($A7,Pipeline!$Y$5:$Y$14,0))&amp;""</f>
        <v/>
      </c>
    </row>
    <row r="8" customFormat="false" ht="61.5" hidden="false" customHeight="true" outlineLevel="0" collapsed="false">
      <c r="A8" s="7" t="n">
        <v>4</v>
      </c>
      <c r="B8" s="8" t="str">
        <f aca="false">INDEX(Pipeline!$A$5:$A$14,MATCH($A8,Pipeline!$Y$5:$Y$14,0))</f>
        <v>Halden Health</v>
      </c>
      <c r="C8" s="9" t="n">
        <f aca="false">INDEX(Pipeline!$B$5:$B$14,MATCH($A8,Pipeline!$Y$5:$Y$14,0))</f>
        <v>45000</v>
      </c>
      <c r="D8" s="10" t="n">
        <f aca="false">INDEX(Pipeline!$C$5:$C$14,MATCH($A8,Pipeline!$Y$5:$Y$14,0))</f>
        <v>46333</v>
      </c>
      <c r="E8" s="8" t="n">
        <f aca="false">INDEX(Pipeline!$J$5:$J$14,MATCH($A8,Pipeline!$Y$5:$Y$14,0))</f>
        <v>18</v>
      </c>
      <c r="F8" s="8" t="str">
        <f aca="false">INDEX(Pipeline!$G$5:$G$14,MATCH($A8,Pipeline!$Y$5:$Y$14,0))</f>
        <v>Not started</v>
      </c>
      <c r="G8" s="8" t="str">
        <f aca="false">INDEX(Pipeline!$Z$5:$Z$14,MATCH($A8,Pipeline!$Y$5:$Y$14,0))&amp;""</f>
        <v>Red, usage -35%, champion gone, new owner unknown, 18 days left.</v>
      </c>
      <c r="H8" s="8" t="str">
        <f aca="false">INDEX(Pipeline!$V$5:$V$14,MATCH($A8,Pipeline!$Y$5:$Y$14,0))&amp;""</f>
        <v>ESCALATE TODAY. CSM, me and exec sponsor meet the new owner this week. Legal checks the 8 Oct notice date. Right-sized option ready.</v>
      </c>
      <c r="I8" s="8" t="str">
        <f aca="false">INDEX(Pipeline!$W$5:$W$14,MATCH($A8,Pipeline!$Y$5:$Y$14,0))</f>
        <v>CSM</v>
      </c>
      <c r="J8" s="8" t="str">
        <f aca="false">INDEX(Pipeline!$AA$5:$AA$14,MATCH($A8,Pipeline!$Y$5:$Y$14,0))&amp;""</f>
        <v>CSM (lead): meets the new owner, value review
Exec sponsor: joins that meeting
Legal: checks the 8 Oct notice date
Me: escalates, prepares the right-sized option</v>
      </c>
      <c r="K8" s="10" t="n">
        <f aca="false">INDEX(Pipeline!$X$5:$X$14,MATCH($A8,Pipeline!$Y$5:$Y$14,0))</f>
        <v>46318</v>
      </c>
      <c r="L8" s="11" t="str">
        <f aca="false">INDEX(Pipeline!$AB$5:$AB$14,MATCH($A8,Pipeline!$Y$5:$Y$14,0))&amp;""</f>
        <v>Yes: Manager + VP CS, exec sponsor meeting with the new owner this week</v>
      </c>
    </row>
    <row r="9" customFormat="false" ht="61.5" hidden="false" customHeight="true" outlineLevel="0" collapsed="false">
      <c r="A9" s="7" t="n">
        <v>5</v>
      </c>
      <c r="B9" s="8" t="str">
        <f aca="false">INDEX(Pipeline!$A$5:$A$14,MATCH($A9,Pipeline!$Y$5:$Y$14,0))</f>
        <v>Tessera Finance</v>
      </c>
      <c r="C9" s="9" t="n">
        <f aca="false">INDEX(Pipeline!$B$5:$B$14,MATCH($A9,Pipeline!$Y$5:$Y$14,0))</f>
        <v>50000</v>
      </c>
      <c r="D9" s="10" t="n">
        <f aca="false">INDEX(Pipeline!$C$5:$C$14,MATCH($A9,Pipeline!$Y$5:$Y$14,0))</f>
        <v>46344</v>
      </c>
      <c r="E9" s="8" t="n">
        <f aca="false">INDEX(Pipeline!$J$5:$J$14,MATCH($A9,Pipeline!$Y$5:$Y$14,0))</f>
        <v>29</v>
      </c>
      <c r="F9" s="8" t="str">
        <f aca="false">INDEX(Pipeline!$G$5:$G$14,MATCH($A9,Pipeline!$Y$5:$Y$14,0))</f>
        <v>Negotiation</v>
      </c>
      <c r="G9" s="8" t="str">
        <f aca="false">INDEX(Pipeline!$Z$5:$Z$14,MATCH($A9,Pipeline!$Y$5:$Y$14,0))&amp;""</f>
        <v>MSA redlines open since September and a security review can block the PO; 29 days left.</v>
      </c>
      <c r="H9" s="8" t="str">
        <f aca="false">INDEX(Pipeline!$V$5:$V$14,MATCH($A9,Pipeline!$Y$5:$Y$14,0))&amp;""</f>
        <v>ESCALATE TODAY to Legal: redline response by 30 Oct. List PO-blocking redlines, agree positions; joint redline call. Quote + security pack today. Fallback: 1-2 month extension if MSA not signed by 18 Nov.</v>
      </c>
      <c r="I9" s="8" t="str">
        <f aca="false">INDEX(Pipeline!$W$5:$W$14,MATCH($A9,Pipeline!$Y$5:$Y$14,0))</f>
        <v>Legal</v>
      </c>
      <c r="J9" s="8" t="str">
        <f aca="false">INDEX(Pipeline!$AA$5:$AA$14,MATCH($A9,Pipeline!$Y$5:$Y$14,0))&amp;""</f>
        <v>Legal (lead): positions on PO-blocking redlines, joint call, response by 30 Oct
Me: redline list, quote and security pack, runs the timeline
Finance + Legal: approve the extension fallback</v>
      </c>
      <c r="K9" s="10" t="n">
        <f aca="false">INDEX(Pipeline!$X$5:$X$14,MATCH($A9,Pipeline!$Y$5:$Y$14,0))</f>
        <v>46318</v>
      </c>
      <c r="L9" s="11" t="str">
        <f aca="false">INDEX(Pipeline!$AB$5:$AB$14,MATCH($A9,Pipeline!$Y$5:$Y$14,0))&amp;""</f>
        <v>Yes: Legal lead, redline response by 30 Oct; extension fallback approved</v>
      </c>
    </row>
    <row r="10" customFormat="false" ht="61.5" hidden="false" customHeight="true" outlineLevel="0" collapsed="false">
      <c r="A10" s="7" t="n">
        <v>6</v>
      </c>
      <c r="B10" s="8" t="str">
        <f aca="false">INDEX(Pipeline!$A$5:$A$14,MATCH($A10,Pipeline!$Y$5:$Y$14,0))</f>
        <v>Brightloop</v>
      </c>
      <c r="C10" s="9" t="n">
        <f aca="false">INDEX(Pipeline!$B$5:$B$14,MATCH($A10,Pipeline!$Y$5:$Y$14,0))</f>
        <v>36000</v>
      </c>
      <c r="D10" s="10" t="n">
        <f aca="false">INDEX(Pipeline!$C$5:$C$14,MATCH($A10,Pipeline!$Y$5:$Y$14,0))</f>
        <v>46370</v>
      </c>
      <c r="E10" s="8" t="n">
        <f aca="false">INDEX(Pipeline!$J$5:$J$14,MATCH($A10,Pipeline!$Y$5:$Y$14,0))</f>
        <v>55</v>
      </c>
      <c r="F10" s="8" t="str">
        <f aca="false">INDEX(Pipeline!$G$5:$G$14,MATCH($A10,Pipeline!$Y$5:$Y$14,0))</f>
        <v>Negotiation</v>
      </c>
      <c r="G10" s="8" t="str">
        <f aca="false">INDEX(Pipeline!$Z$5:$Z$14,MATCH($A10,Pipeline!$Y$5:$Y$14,0))&amp;""</f>
        <v>Live negotiation; procurement sets the pace. Reply and pre-approvals today.</v>
      </c>
      <c r="H10" s="8" t="str">
        <f aca="false">INDEX(Pipeline!$V$5:$V$14,MATCH($A10,Pipeline!$Y$5:$Y$14,0))&amp;""</f>
        <v>Reply to Sam today; Finance pre-approval (up to 12% on 2 years, net 60); call with Sam and Priya this week. Target signature 30 Nov.</v>
      </c>
      <c r="I10" s="8" t="str">
        <f aca="false">INDEX(Pipeline!$W$5:$W$14,MATCH($A10,Pipeline!$Y$5:$Y$14,0))</f>
        <v>Me</v>
      </c>
      <c r="J10" s="8" t="str">
        <f aca="false">INDEX(Pipeline!$AA$5:$AA$14,MATCH($A10,Pipeline!$Y$5:$Y$14,0))&amp;""</f>
        <v>Me: reply to Sam, the call, the order form
Finance: pre-approves up to 12% and net 60
VP CS: pre-approves the buffer</v>
      </c>
      <c r="K10" s="10" t="n">
        <f aca="false">INDEX(Pipeline!$X$5:$X$14,MATCH($A10,Pipeline!$Y$5:$Y$14,0))</f>
        <v>46315</v>
      </c>
      <c r="L10" s="11" t="str">
        <f aca="false">INDEX(Pipeline!$AB$5:$AB$14,MATCH($A10,Pipeline!$Y$5:$Y$14,0))&amp;""</f>
        <v/>
      </c>
    </row>
    <row r="11" customFormat="false" ht="61.5" hidden="false" customHeight="true" outlineLevel="0" collapsed="false">
      <c r="A11" s="7" t="n">
        <v>7</v>
      </c>
      <c r="B11" s="8" t="str">
        <f aca="false">INDEX(Pipeline!$A$5:$A$14,MATCH($A11,Pipeline!$Y$5:$Y$14,0))</f>
        <v>Marlowe Insurance</v>
      </c>
      <c r="C11" s="9" t="n">
        <f aca="false">INDEX(Pipeline!$B$5:$B$14,MATCH($A11,Pipeline!$Y$5:$Y$14,0))</f>
        <v>46000</v>
      </c>
      <c r="D11" s="10" t="n">
        <f aca="false">INDEX(Pipeline!$C$5:$C$14,MATCH($A11,Pipeline!$Y$5:$Y$14,0))</f>
        <v>46365</v>
      </c>
      <c r="E11" s="8" t="n">
        <f aca="false">INDEX(Pipeline!$J$5:$J$14,MATCH($A11,Pipeline!$Y$5:$Y$14,0))</f>
        <v>50</v>
      </c>
      <c r="F11" s="8" t="str">
        <f aca="false">INDEX(Pipeline!$G$5:$G$14,MATCH($A11,Pipeline!$Y$5:$Y$14,0))</f>
        <v>Engaging customer</v>
      </c>
      <c r="G11" s="8" t="str">
        <f aca="false">INDEX(Pipeline!$Z$5:$Z$14,MATCH($A11,Pipeline!$Y$5:$Y$14,0))&amp;""</f>
        <v>Insurance procurement is slow; no DPA and questionnaire means no PO.</v>
      </c>
      <c r="H11" s="8" t="str">
        <f aca="false">INDEX(Pipeline!$V$5:$V$14,MATCH($A11,Pipeline!$Y$5:$Y$14,0))&amp;""</f>
        <v>Quote sent with standard DPA and questionnaire (AI first draft, Security reviews) by 27 Oct. Work back from their PO lead time.</v>
      </c>
      <c r="I11" s="8" t="str">
        <f aca="false">INDEX(Pipeline!$W$5:$W$14,MATCH($A11,Pipeline!$Y$5:$Y$14,0))</f>
        <v>Me</v>
      </c>
      <c r="J11" s="8" t="str">
        <f aca="false">INDEX(Pipeline!$AA$5:$AA$14,MATCH($A11,Pipeline!$Y$5:$Y$14,0))&amp;""</f>
        <v>Me: quote, questionnaire, PO lead time
Security: reviews the questionnaire answers
Legal: the DPA</v>
      </c>
      <c r="K11" s="10" t="n">
        <f aca="false">INDEX(Pipeline!$X$5:$X$14,MATCH($A11,Pipeline!$Y$5:$Y$14,0))</f>
        <v>46322</v>
      </c>
      <c r="L11" s="11" t="str">
        <f aca="false">INDEX(Pipeline!$AB$5:$AB$14,MATCH($A11,Pipeline!$Y$5:$Y$14,0))&amp;""</f>
        <v/>
      </c>
    </row>
    <row r="12" customFormat="false" ht="61.5" hidden="false" customHeight="true" outlineLevel="0" collapsed="false">
      <c r="A12" s="7" t="n">
        <v>8</v>
      </c>
      <c r="B12" s="8" t="str">
        <f aca="false">INDEX(Pipeline!$A$5:$A$14,MATCH($A12,Pipeline!$Y$5:$Y$14,0))</f>
        <v>Kestrel Analytics</v>
      </c>
      <c r="C12" s="9" t="n">
        <f aca="false">INDEX(Pipeline!$B$5:$B$14,MATCH($A12,Pipeline!$Y$5:$Y$14,0))</f>
        <v>35000</v>
      </c>
      <c r="D12" s="10" t="n">
        <f aca="false">INDEX(Pipeline!$C$5:$C$14,MATCH($A12,Pipeline!$Y$5:$Y$14,0))</f>
        <v>46354</v>
      </c>
      <c r="E12" s="8" t="n">
        <f aca="false">INDEX(Pipeline!$J$5:$J$14,MATCH($A12,Pipeline!$Y$5:$Y$14,0))</f>
        <v>39</v>
      </c>
      <c r="F12" s="8" t="str">
        <f aca="false">INDEX(Pipeline!$G$5:$G$14,MATCH($A12,Pipeline!$Y$5:$Y$14,0))</f>
        <v>Not started</v>
      </c>
      <c r="G12" s="8" t="str">
        <f aca="false">INDEX(Pipeline!$Z$5:$Z$14,MATCH($A12,Pipeline!$Y$5:$Y$14,0))&amp;""</f>
        <v>Usage +40%, near the execution cap: expansion, and a throttling risk.</v>
      </c>
      <c r="H12" s="8" t="str">
        <f aca="false">INDEX(Pipeline!$V$5:$V$14,MATCH($A12,Pipeline!$Y$5:$Y$14,0))&amp;""</f>
        <v>CSM usage review and approves the tier; one quote with renewal (€35k like-for-like) and upsell (next tier) as separate lines; upsell on its own linked Upsell opportunity.</v>
      </c>
      <c r="I12" s="8" t="str">
        <f aca="false">INDEX(Pipeline!$W$5:$W$14,MATCH($A12,Pipeline!$Y$5:$Y$14,0))</f>
        <v>CSM</v>
      </c>
      <c r="J12" s="8" t="str">
        <f aca="false">INDEX(Pipeline!$AA$5:$AA$14,MATCH($A12,Pipeline!$Y$5:$Y$14,0))&amp;""</f>
        <v>CSM: usage review, approves the tier
Me: one quote, renewal and upsell on separate lines; upsell opportunity</v>
      </c>
      <c r="K12" s="10" t="n">
        <f aca="false">INDEX(Pipeline!$X$5:$X$14,MATCH($A12,Pipeline!$Y$5:$Y$14,0))</f>
        <v>46323</v>
      </c>
      <c r="L12" s="11" t="str">
        <f aca="false">INDEX(Pipeline!$AB$5:$AB$14,MATCH($A12,Pipeline!$Y$5:$Y$14,0))&amp;""</f>
        <v/>
      </c>
    </row>
    <row r="13" customFormat="false" ht="61.5" hidden="false" customHeight="true" outlineLevel="0" collapsed="false">
      <c r="A13" s="7" t="n">
        <v>9</v>
      </c>
      <c r="B13" s="8" t="str">
        <f aca="false">INDEX(Pipeline!$A$5:$A$14,MATCH($A13,Pipeline!$Y$5:$Y$14,0))</f>
        <v>Lumen Retail</v>
      </c>
      <c r="C13" s="9" t="n">
        <f aca="false">INDEX(Pipeline!$B$5:$B$14,MATCH($A13,Pipeline!$Y$5:$Y$14,0))</f>
        <v>28000</v>
      </c>
      <c r="D13" s="10" t="n">
        <f aca="false">INDEX(Pipeline!$C$5:$C$14,MATCH($A13,Pipeline!$Y$5:$Y$14,0))</f>
        <v>46347</v>
      </c>
      <c r="E13" s="8" t="n">
        <f aca="false">INDEX(Pipeline!$J$5:$J$14,MATCH($A13,Pipeline!$Y$5:$Y$14,0))</f>
        <v>32</v>
      </c>
      <c r="F13" s="8" t="str">
        <f aca="false">INDEX(Pipeline!$G$5:$G$14,MATCH($A13,Pipeline!$Y$5:$Y$14,0))</f>
        <v>Billing blocker</v>
      </c>
      <c r="G13" s="8" t="str">
        <f aca="false">INDEX(Pipeline!$Z$5:$Z$14,MATCH($A13,Pipeline!$Y$5:$Y$14,0))&amp;""</f>
        <v>Auto-renewal would invoice the wrong legal entity; cancellation deadline 22 Oct (assumed 30-day notice).</v>
      </c>
      <c r="H13" s="8" t="str">
        <f aca="false">INDEX(Pipeline!$V$5:$V$14,MATCH($A13,Pipeline!$Y$5:$Y$14,0))&amp;""</f>
        <v>New entity details (name, VAT, address); Legal: billing change or assignment; Finance updates billing before the invoice run. Cancellation deadline 22 Oct (assumed 30 days).</v>
      </c>
      <c r="I13" s="8" t="str">
        <f aca="false">INDEX(Pipeline!$W$5:$W$14,MATCH($A13,Pipeline!$Y$5:$Y$14,0))</f>
        <v>Me</v>
      </c>
      <c r="J13" s="8" t="str">
        <f aca="false">INDEX(Pipeline!$AA$5:$AA$14,MATCH($A13,Pipeline!$Y$5:$Y$14,0))&amp;""</f>
        <v>Me: gets the new entity's details
Legal: billing change or assignment
Finance: updates billing before the invoice run</v>
      </c>
      <c r="K13" s="10" t="n">
        <f aca="false">INDEX(Pipeline!$X$5:$X$14,MATCH($A13,Pipeline!$Y$5:$Y$14,0))</f>
        <v>46317</v>
      </c>
      <c r="L13" s="11" t="str">
        <f aca="false">INDEX(Pipeline!$AB$5:$AB$14,MATCH($A13,Pipeline!$Y$5:$Y$14,0))&amp;""</f>
        <v/>
      </c>
    </row>
    <row r="14" customFormat="false" ht="61.5" hidden="false" customHeight="true" outlineLevel="0" collapsed="false">
      <c r="A14" s="7" t="n">
        <v>10</v>
      </c>
      <c r="B14" s="8" t="str">
        <f aca="false">INDEX(Pipeline!$A$5:$A$14,MATCH($A14,Pipeline!$Y$5:$Y$14,0))</f>
        <v>Quanta Labs</v>
      </c>
      <c r="C14" s="9" t="n">
        <f aca="false">INDEX(Pipeline!$B$5:$B$14,MATCH($A14,Pipeline!$Y$5:$Y$14,0))</f>
        <v>40000</v>
      </c>
      <c r="D14" s="10" t="n">
        <f aca="false">INDEX(Pipeline!$C$5:$C$14,MATCH($A14,Pipeline!$Y$5:$Y$14,0))</f>
        <v>46375</v>
      </c>
      <c r="E14" s="8" t="n">
        <f aca="false">INDEX(Pipeline!$J$5:$J$14,MATCH($A14,Pipeline!$Y$5:$Y$14,0))</f>
        <v>60</v>
      </c>
      <c r="F14" s="8" t="str">
        <f aca="false">INDEX(Pipeline!$G$5:$G$14,MATCH($A14,Pipeline!$Y$5:$Y$14,0))</f>
        <v>At risk: before notice deadline</v>
      </c>
      <c r="G14" s="8" t="str">
        <f aca="false">INDEX(Pipeline!$Z$5:$Z$14,MATCH($A14,Pipeline!$Y$5:$Y$14,0))&amp;""</f>
        <v>Auto-renewal, usage -20%, Q1 budget cuts, unresponsive. 60 days, but the notice deadline is ~19 Nov (assumed 30-day notice).</v>
      </c>
      <c r="H14" s="8" t="str">
        <f aca="false">INDEX(Pipeline!$V$5:$V$14,MATCH($A14,Pipeline!$Y$5:$Y$14,0))&amp;""</f>
        <v>CSM and exec sponsor via a new contact; I confirm the ~19 Nov notice date; offer right-sizing or a 2-year price lock before they cancel.</v>
      </c>
      <c r="I14" s="8" t="str">
        <f aca="false">INDEX(Pipeline!$W$5:$W$14,MATCH($A14,Pipeline!$Y$5:$Y$14,0))</f>
        <v>CSM</v>
      </c>
      <c r="J14" s="8" t="str">
        <f aca="false">INDEX(Pipeline!$AA$5:$AA$14,MATCH($A14,Pipeline!$Y$5:$Y$14,0))&amp;""</f>
        <v>CSM + exec sponsor: reach a new contact
Me: confirms the notice date, offers the lock or right-size</v>
      </c>
      <c r="K14" s="10" t="n">
        <f aca="false">INDEX(Pipeline!$X$5:$X$14,MATCH($A14,Pipeline!$Y$5:$Y$14,0))</f>
        <v>46325</v>
      </c>
      <c r="L14" s="11" t="str">
        <f aca="false">INDEX(Pipeline!$AB$5:$AB$14,MATCH($A14,Pipeline!$Y$5:$Y$14,0))&amp;""</f>
        <v/>
      </c>
    </row>
    <row r="16" customFormat="false" ht="15" hidden="false" customHeight="false" outlineLevel="0" collapsed="false">
      <c r="A16" s="2" t="s">
        <v>41</v>
      </c>
      <c r="C16" s="12" t="str">
        <f aca="false">COUNTIF(L5:L14,"Yes*")&amp;" accounts, "&amp;TEXT(SUMIF(L5:L14,"Yes*",C5:C14),"€#,##0")&amp;" ARR"</f>
        <v>3 accounts, €116,000 ARR</v>
      </c>
    </row>
    <row r="17" customFormat="false" ht="15" hidden="false" customHeight="false" outlineLevel="0" collapsed="false">
      <c r="A17" s="2" t="s">
        <v>42</v>
      </c>
      <c r="C17" s="13" t="s">
        <v>43</v>
      </c>
      <c r="D17" s="13"/>
      <c r="E17" s="13"/>
      <c r="F17" s="13"/>
      <c r="G17" s="13"/>
      <c r="H17" s="13"/>
      <c r="I17" s="13"/>
      <c r="J17" s="13"/>
      <c r="K17" s="13"/>
      <c r="L17" s="13"/>
    </row>
  </sheetData>
  <mergeCells count="1">
    <mergeCell ref="C17:L17"/>
  </mergeCells>
  <conditionalFormatting sqref="L5:L14">
    <cfRule type="expression" priority="2" aboveAverage="0" equalAverage="0" bottom="0" percent="0" rank="0" text="" dxfId="0">
      <formula>LEFT(L5,3)="Yes"</formula>
    </cfRule>
  </conditionalFormatting>
  <conditionalFormatting sqref="E5:E14">
    <cfRule type="cellIs" priority="3" operator="lessThan" aboveAverage="0" equalAverage="0" bottom="0" percent="0" rank="0" text="" dxfId="1">
      <formula>0</formula>
    </cfRule>
  </conditionalFormatting>
  <conditionalFormatting sqref="K5:K14">
    <cfRule type="expression" priority="4" aboveAverage="0" equalAverage="0" bottom="0" percent="0" rank="0" text="" dxfId="2">
      <formula>K5=Pipeline!$B$2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3" min="3" style="0" width="13"/>
    <col collapsed="false" customWidth="true" hidden="false" outlineLevel="0" max="4" min="4" style="0" width="8"/>
    <col collapsed="false" customWidth="true" hidden="false" outlineLevel="0" max="6" min="5" style="0" width="9"/>
    <col collapsed="false" customWidth="true" hidden="false" outlineLevel="0" max="7" min="7" style="0" width="18"/>
    <col collapsed="false" customWidth="true" hidden="false" outlineLevel="0" max="8" min="8" style="0" width="28"/>
    <col collapsed="false" customWidth="true" hidden="false" outlineLevel="0" max="9" min="9" style="0" width="13"/>
    <col collapsed="false" customWidth="true" hidden="false" outlineLevel="0" max="14" min="10" style="0" width="9"/>
    <col collapsed="false" customWidth="true" hidden="false" outlineLevel="0" max="15" min="15" style="0" width="12"/>
    <col collapsed="false" customWidth="true" hidden="false" outlineLevel="0" max="18" min="16" style="0" width="10"/>
    <col collapsed="false" customWidth="true" hidden="false" outlineLevel="0" max="19" min="19" style="0" width="13"/>
    <col collapsed="false" customWidth="true" hidden="false" outlineLevel="0" max="20" min="20" style="0" width="14"/>
    <col collapsed="false" customWidth="true" hidden="false" outlineLevel="0" max="21" min="21" style="0" width="13"/>
    <col collapsed="false" customWidth="true" hidden="false" outlineLevel="0" max="22" min="22" style="0" width="60"/>
    <col collapsed="false" customWidth="true" hidden="false" outlineLevel="0" max="23" min="23" style="0" width="10"/>
    <col collapsed="false" customWidth="true" hidden="false" outlineLevel="0" max="24" min="24" style="0" width="12"/>
    <col collapsed="false" customWidth="true" hidden="false" outlineLevel="0" max="25" min="25" style="0" width="7"/>
    <col collapsed="false" customWidth="true" hidden="false" outlineLevel="0" max="26" min="26" style="0" width="50"/>
    <col collapsed="false" customWidth="true" hidden="false" outlineLevel="0" max="27" min="27" style="0" width="48"/>
    <col collapsed="false" customWidth="true" hidden="false" outlineLevel="0" max="28" min="28" style="0" width="40"/>
    <col collapsed="false" customWidth="true" hidden="false" outlineLevel="0" max="29" min="29" style="0" width="10"/>
    <col collapsed="false" customWidth="true" hidden="false" outlineLevel="0" max="30" min="30" style="0" width="13"/>
    <col collapsed="false" customWidth="true" hidden="false" outlineLevel="0" max="31" min="31" style="0" width="34"/>
    <col collapsed="false" customWidth="true" hidden="false" outlineLevel="0" max="32" min="32" style="0" width="26"/>
    <col collapsed="false" customWidth="true" hidden="false" outlineLevel="0" max="33" min="33" style="0" width="10"/>
    <col collapsed="false" customWidth="true" hidden="false" outlineLevel="0" max="34" min="34" style="0" width="14"/>
    <col collapsed="false" customWidth="true" hidden="false" outlineLevel="0" max="35" min="35" style="0" width="11"/>
    <col collapsed="false" customWidth="true" hidden="false" outlineLevel="0" max="36" min="36" style="0" width="14"/>
  </cols>
  <sheetData>
    <row r="1" customFormat="false" ht="16.15" hidden="false" customHeight="false" outlineLevel="0" collapsed="false">
      <c r="A1" s="4" t="s">
        <v>44</v>
      </c>
    </row>
    <row r="2" customFormat="false" ht="15" hidden="false" customHeight="false" outlineLevel="0" collapsed="false">
      <c r="A2" s="2" t="s">
        <v>3</v>
      </c>
      <c r="B2" s="14" t="n">
        <v>46315</v>
      </c>
      <c r="D2" s="2" t="s">
        <v>45</v>
      </c>
      <c r="E2" s="14" t="n">
        <v>46325</v>
      </c>
      <c r="G2" s="5" t="s">
        <v>46</v>
      </c>
    </row>
    <row r="4" customFormat="false" ht="31.5" hidden="false" customHeight="true" outlineLevel="0" collapsed="false">
      <c r="A4" s="6" t="s">
        <v>30</v>
      </c>
      <c r="B4" s="6" t="s">
        <v>47</v>
      </c>
      <c r="C4" s="6" t="s">
        <v>32</v>
      </c>
      <c r="D4" s="6" t="s">
        <v>48</v>
      </c>
      <c r="E4" s="6" t="s">
        <v>49</v>
      </c>
      <c r="F4" s="6" t="s">
        <v>50</v>
      </c>
      <c r="G4" s="6" t="s">
        <v>34</v>
      </c>
      <c r="H4" s="6" t="s">
        <v>51</v>
      </c>
      <c r="I4" s="6" t="s">
        <v>52</v>
      </c>
      <c r="J4" s="6" t="s">
        <v>53</v>
      </c>
      <c r="K4" s="6" t="s">
        <v>54</v>
      </c>
      <c r="L4" s="6" t="s">
        <v>55</v>
      </c>
      <c r="M4" s="6" t="s">
        <v>56</v>
      </c>
      <c r="N4" s="6" t="s">
        <v>57</v>
      </c>
      <c r="O4" s="6" t="s">
        <v>58</v>
      </c>
      <c r="P4" s="6" t="s">
        <v>7</v>
      </c>
      <c r="Q4" s="6" t="s">
        <v>59</v>
      </c>
      <c r="R4" s="6" t="s">
        <v>60</v>
      </c>
      <c r="S4" s="6" t="s">
        <v>61</v>
      </c>
      <c r="T4" s="6" t="s">
        <v>62</v>
      </c>
      <c r="U4" s="6" t="s">
        <v>63</v>
      </c>
      <c r="V4" s="6" t="s">
        <v>36</v>
      </c>
      <c r="W4" s="6" t="s">
        <v>37</v>
      </c>
      <c r="X4" s="6" t="s">
        <v>39</v>
      </c>
      <c r="Y4" s="6" t="s">
        <v>29</v>
      </c>
      <c r="Z4" s="6" t="s">
        <v>35</v>
      </c>
      <c r="AA4" s="6" t="s">
        <v>38</v>
      </c>
      <c r="AB4" s="6" t="s">
        <v>40</v>
      </c>
      <c r="AC4" s="6" t="s">
        <v>64</v>
      </c>
      <c r="AD4" s="6" t="s">
        <v>65</v>
      </c>
      <c r="AE4" s="6" t="s">
        <v>66</v>
      </c>
      <c r="AF4" s="6" t="s">
        <v>67</v>
      </c>
      <c r="AG4" s="6" t="s">
        <v>68</v>
      </c>
      <c r="AH4" s="6" t="s">
        <v>69</v>
      </c>
      <c r="AI4" s="6" t="s">
        <v>70</v>
      </c>
      <c r="AJ4" s="6" t="s">
        <v>71</v>
      </c>
    </row>
    <row r="5" customFormat="false" ht="48" hidden="false" customHeight="true" outlineLevel="0" collapsed="false">
      <c r="A5" s="15" t="s">
        <v>72</v>
      </c>
      <c r="B5" s="16" t="n">
        <v>21000</v>
      </c>
      <c r="C5" s="17" t="n">
        <v>46310</v>
      </c>
      <c r="D5" s="18" t="s">
        <v>73</v>
      </c>
      <c r="E5" s="19" t="n">
        <v>0</v>
      </c>
      <c r="F5" s="18" t="s">
        <v>74</v>
      </c>
      <c r="G5" s="18" t="s">
        <v>75</v>
      </c>
      <c r="H5" s="20" t="s">
        <v>76</v>
      </c>
      <c r="I5" s="17" t="n">
        <v>46332</v>
      </c>
      <c r="J5" s="15" t="n">
        <f aca="false">C5-$B$2</f>
        <v>-5</v>
      </c>
      <c r="K5" s="15" t="str">
        <f aca="false">IF(J5&lt;0,"Overdue",IF(J5&lt;=30,"0-30",IF(J5&lt;=60,"31-60",IF(J5&lt;=90,"61-90","&gt;90"))))</f>
        <v>Overdue</v>
      </c>
      <c r="L5" s="15" t="str">
        <f aca="false">IF(AND(J5&lt;0,G5&lt;&gt;"Closed won",G5&lt;&gt;"Cancelled"),"YES","")</f>
        <v>YES</v>
      </c>
      <c r="M5" s="15" t="str">
        <f aca="false">TEXT(C5,"yyyy-mm")</f>
        <v>2026-10</v>
      </c>
      <c r="N5" s="15" t="str">
        <f aca="false">"Q"&amp;ROUNDUP(MONTH(C5)/3,0)&amp;" "&amp;YEAR(C5)</f>
        <v>Q4 2026</v>
      </c>
      <c r="O5" s="21" t="n">
        <f aca="false">EOMONTH(DATE(YEAR(C5),ROUNDUP(MONTH(C5)/3,0)*3,1),0)</f>
        <v>46387</v>
      </c>
      <c r="P5" s="22" t="n">
        <f aca="false">INDEX(Probability!$B$5:$F$19,MATCH(G5,Probability!$A$5:$A$19,0),MATCH(K5,Probability!$B$4:$F$4,0))</f>
        <v>0.5</v>
      </c>
      <c r="Q5" s="15" t="str">
        <f aca="false">IF(I5&lt;=O5,"Yes","No")</f>
        <v>Yes</v>
      </c>
      <c r="R5" s="22" t="n">
        <f aca="false">IF(Q5="Yes",P5,0)</f>
        <v>0.5</v>
      </c>
      <c r="S5" s="23" t="n">
        <f aca="false">SUMIFS(Products!$K:$K,Products!$A:$A,A5)</f>
        <v>21000</v>
      </c>
      <c r="T5" s="23" t="n">
        <f aca="false">S5*R5</f>
        <v>10500</v>
      </c>
      <c r="U5" s="15" t="str">
        <f aca="false">IF(G5="Cancelled","Lost",IF(Q5="No","Slips quarter",IF(OR(J5&lt;0,AND(J5&lt;=30,OR(G5="--None--",G5="Not started",G5="Engaging customer",G5="Negotiation",G5="Billing blocker",G5="At risk: before notice deadline",G5="Notice received"))),"Late","On time")))</f>
        <v>Late</v>
      </c>
      <c r="V5" s="20" t="s">
        <v>77</v>
      </c>
      <c r="W5" s="18" t="s">
        <v>78</v>
      </c>
      <c r="X5" s="17" t="n">
        <v>46316</v>
      </c>
      <c r="Y5" s="18" t="n">
        <v>2</v>
      </c>
      <c r="Z5" s="20" t="s">
        <v>79</v>
      </c>
      <c r="AA5" s="20" t="s">
        <v>80</v>
      </c>
      <c r="AB5" s="20" t="s">
        <v>81</v>
      </c>
      <c r="AC5" s="18"/>
      <c r="AD5" s="21" t="str">
        <f aca="false">IF(AC5="","",C5-AC5)</f>
        <v/>
      </c>
      <c r="AE5" s="8" t="str">
        <f aca="false">IF(E5&gt;=0.2,"Over-usage: open Upsell opp + CSM/Renewals task",IF(E5&lt;=-0.2,"Under-usage: flag CSM"&amp;IF(D5="Auto","; set At risk",""),""))</f>
        <v/>
      </c>
      <c r="AF5" s="20" t="s">
        <v>82</v>
      </c>
      <c r="AG5" s="22" t="n">
        <f aca="false">IF(I5&lt;=O5,INDEX(Probability!$B$5:$F$19,MATCH(AF5,Probability!$A$5:$A$19,0),MATCH(IF(C5-$E$2&lt;0,"Overdue",IF(C5-$E$2&lt;=30,"0-30",IF(C5-$E$2&lt;=60,"31-60",IF(C5-$E$2&lt;=90,"61-90","&gt;90")))),Probability!$B$4:$F$4,0)),0)</f>
        <v>0.7</v>
      </c>
      <c r="AH5" s="24" t="n">
        <f aca="false">S5*AG5</f>
        <v>14700</v>
      </c>
      <c r="AI5" s="22" t="n">
        <f aca="false">IF(I5&lt;=O5,INDEX(Probability!$B$5:$F$19,MATCH(G5,Probability!$A$5:$A$19,0),MATCH(IF(C5-$E$2&lt;0,"Overdue",IF(C5-$E$2&lt;=30,"0-30",IF(C5-$E$2&lt;=60,"31-60",IF(C5-$E$2&lt;=90,"61-90","&gt;90")))),Probability!$B$4:$F$4,0)),0)</f>
        <v>0.5</v>
      </c>
      <c r="AJ5" s="25" t="n">
        <f aca="false">S5*AI5</f>
        <v>10500</v>
      </c>
    </row>
    <row r="6" customFormat="false" ht="48" hidden="false" customHeight="true" outlineLevel="0" collapsed="false">
      <c r="A6" s="15" t="s">
        <v>83</v>
      </c>
      <c r="B6" s="16" t="n">
        <v>48000</v>
      </c>
      <c r="C6" s="17" t="n">
        <v>46324</v>
      </c>
      <c r="D6" s="18" t="s">
        <v>73</v>
      </c>
      <c r="E6" s="19" t="n">
        <v>0.12</v>
      </c>
      <c r="F6" s="18" t="s">
        <v>84</v>
      </c>
      <c r="G6" s="18" t="s">
        <v>85</v>
      </c>
      <c r="H6" s="20" t="s">
        <v>86</v>
      </c>
      <c r="I6" s="17" t="n">
        <v>46324</v>
      </c>
      <c r="J6" s="15" t="n">
        <f aca="false">C6-$B$2</f>
        <v>9</v>
      </c>
      <c r="K6" s="15" t="str">
        <f aca="false">IF(J6&lt;0,"Overdue",IF(J6&lt;=30,"0-30",IF(J6&lt;=60,"31-60",IF(J6&lt;=90,"61-90","&gt;90"))))</f>
        <v>0-30</v>
      </c>
      <c r="L6" s="15" t="str">
        <f aca="false">IF(AND(J6&lt;0,G6&lt;&gt;"Closed won",G6&lt;&gt;"Cancelled"),"YES","")</f>
        <v/>
      </c>
      <c r="M6" s="15" t="str">
        <f aca="false">TEXT(C6,"yyyy-mm")</f>
        <v>2026-10</v>
      </c>
      <c r="N6" s="15" t="str">
        <f aca="false">"Q"&amp;ROUNDUP(MONTH(C6)/3,0)&amp;" "&amp;YEAR(C6)</f>
        <v>Q4 2026</v>
      </c>
      <c r="O6" s="21" t="n">
        <f aca="false">EOMONTH(DATE(YEAR(C6),ROUNDUP(MONTH(C6)/3,0)*3,1),0)</f>
        <v>46387</v>
      </c>
      <c r="P6" s="22" t="n">
        <f aca="false">INDEX(Probability!$B$5:$F$19,MATCH(G6,Probability!$A$5:$A$19,0),MATCH(K6,Probability!$B$4:$F$4,0))</f>
        <v>0.25</v>
      </c>
      <c r="Q6" s="15" t="str">
        <f aca="false">IF(I6&lt;=O6,"Yes","No")</f>
        <v>Yes</v>
      </c>
      <c r="R6" s="22" t="n">
        <f aca="false">IF(Q6="Yes",P6,0)</f>
        <v>0.25</v>
      </c>
      <c r="S6" s="23" t="n">
        <f aca="false">SUMIFS(Products!$K:$K,Products!$A:$A,A6)</f>
        <v>48000</v>
      </c>
      <c r="T6" s="23" t="n">
        <f aca="false">S6*R6</f>
        <v>12000</v>
      </c>
      <c r="U6" s="15" t="str">
        <f aca="false">IF(G6="Cancelled","Lost",IF(Q6="No","Slips quarter",IF(OR(J6&lt;0,AND(J6&lt;=30,OR(G6="--None--",G6="Not started",G6="Engaging customer",G6="Negotiation",G6="Billing blocker",G6="At risk: before notice deadline",G6="Notice received"))),"Late","On time")))</f>
        <v>Late</v>
      </c>
      <c r="V6" s="20" t="s">
        <v>87</v>
      </c>
      <c r="W6" s="18" t="s">
        <v>78</v>
      </c>
      <c r="X6" s="17" t="n">
        <v>46315</v>
      </c>
      <c r="Y6" s="18" t="n">
        <v>1</v>
      </c>
      <c r="Z6" s="20" t="s">
        <v>88</v>
      </c>
      <c r="AA6" s="20" t="s">
        <v>89</v>
      </c>
      <c r="AB6" s="20"/>
      <c r="AC6" s="18"/>
      <c r="AD6" s="21" t="str">
        <f aca="false">IF(AC6="","",C6-AC6)</f>
        <v/>
      </c>
      <c r="AE6" s="8" t="str">
        <f aca="false">IF(E6&gt;=0.2,"Over-usage: open Upsell opp + CSM/Renewals task",IF(E6&lt;=-0.2,"Under-usage: flag CSM"&amp;IF(D6="Auto","; set At risk",""),""))</f>
        <v/>
      </c>
      <c r="AF6" s="20" t="s">
        <v>90</v>
      </c>
      <c r="AG6" s="22" t="n">
        <f aca="false">IF(I6&lt;=O6,INDEX(Probability!$B$5:$F$19,MATCH(AF6,Probability!$A$5:$A$19,0),MATCH(IF(C6-$E$2&lt;0,"Overdue",IF(C6-$E$2&lt;=30,"0-30",IF(C6-$E$2&lt;=60,"31-60",IF(C6-$E$2&lt;=90,"61-90","&gt;90")))),Probability!$B$4:$F$4,0)),0)</f>
        <v>0.95</v>
      </c>
      <c r="AH6" s="24" t="n">
        <f aca="false">S6*AG6</f>
        <v>45600</v>
      </c>
      <c r="AI6" s="22" t="n">
        <f aca="false">IF(I6&lt;=O6,INDEX(Probability!$B$5:$F$19,MATCH(G6,Probability!$A$5:$A$19,0),MATCH(IF(C6-$E$2&lt;0,"Overdue",IF(C6-$E$2&lt;=30,"0-30",IF(C6-$E$2&lt;=60,"31-60",IF(C6-$E$2&lt;=90,"61-90","&gt;90")))),Probability!$B$4:$F$4,0)),0)</f>
        <v>0.1</v>
      </c>
      <c r="AJ6" s="25" t="n">
        <f aca="false">S6*AI6</f>
        <v>4800</v>
      </c>
    </row>
    <row r="7" customFormat="false" ht="48" hidden="false" customHeight="true" outlineLevel="0" collapsed="false">
      <c r="A7" s="15" t="s">
        <v>91</v>
      </c>
      <c r="B7" s="16" t="n">
        <v>26000</v>
      </c>
      <c r="C7" s="17" t="n">
        <v>46328</v>
      </c>
      <c r="D7" s="18" t="s">
        <v>92</v>
      </c>
      <c r="E7" s="19" t="n">
        <v>0</v>
      </c>
      <c r="F7" s="18" t="s">
        <v>84</v>
      </c>
      <c r="G7" s="18" t="s">
        <v>93</v>
      </c>
      <c r="H7" s="20" t="s">
        <v>94</v>
      </c>
      <c r="I7" s="17" t="n">
        <v>46328</v>
      </c>
      <c r="J7" s="15" t="n">
        <f aca="false">C7-$B$2</f>
        <v>13</v>
      </c>
      <c r="K7" s="15" t="str">
        <f aca="false">IF(J7&lt;0,"Overdue",IF(J7&lt;=30,"0-30",IF(J7&lt;=60,"31-60",IF(J7&lt;=90,"61-90","&gt;90"))))</f>
        <v>0-30</v>
      </c>
      <c r="L7" s="15" t="str">
        <f aca="false">IF(AND(J7&lt;0,G7&lt;&gt;"Closed won",G7&lt;&gt;"Cancelled"),"YES","")</f>
        <v/>
      </c>
      <c r="M7" s="15" t="str">
        <f aca="false">TEXT(C7,"yyyy-mm")</f>
        <v>2026-11</v>
      </c>
      <c r="N7" s="15" t="str">
        <f aca="false">"Q"&amp;ROUNDUP(MONTH(C7)/3,0)&amp;" "&amp;YEAR(C7)</f>
        <v>Q4 2026</v>
      </c>
      <c r="O7" s="21" t="n">
        <f aca="false">EOMONTH(DATE(YEAR(C7),ROUNDUP(MONTH(C7)/3,0)*3,1),0)</f>
        <v>46387</v>
      </c>
      <c r="P7" s="22" t="n">
        <f aca="false">INDEX(Probability!$B$5:$F$19,MATCH(G7,Probability!$A$5:$A$19,0),MATCH(K7,Probability!$B$4:$F$4,0))</f>
        <v>0.6</v>
      </c>
      <c r="Q7" s="15" t="str">
        <f aca="false">IF(I7&lt;=O7,"Yes","No")</f>
        <v>Yes</v>
      </c>
      <c r="R7" s="22" t="n">
        <f aca="false">IF(Q7="Yes",P7,0)</f>
        <v>0.6</v>
      </c>
      <c r="S7" s="23" t="n">
        <f aca="false">SUMIFS(Products!$K:$K,Products!$A:$A,A7)</f>
        <v>26000</v>
      </c>
      <c r="T7" s="23" t="n">
        <f aca="false">S7*R7</f>
        <v>15600</v>
      </c>
      <c r="U7" s="15" t="str">
        <f aca="false">IF(G7="Cancelled","Lost",IF(Q7="No","Slips quarter",IF(OR(J7&lt;0,AND(J7&lt;=30,OR(G7="--None--",G7="Not started",G7="Engaging customer",G7="Negotiation",G7="Billing blocker",G7="At risk: before notice deadline",G7="Notice received"))),"Late","On time")))</f>
        <v>Late</v>
      </c>
      <c r="V7" s="20" t="s">
        <v>95</v>
      </c>
      <c r="W7" s="18" t="s">
        <v>96</v>
      </c>
      <c r="X7" s="17" t="n">
        <v>46317</v>
      </c>
      <c r="Y7" s="18" t="n">
        <v>3</v>
      </c>
      <c r="Z7" s="20" t="s">
        <v>97</v>
      </c>
      <c r="AA7" s="20" t="s">
        <v>98</v>
      </c>
      <c r="AB7" s="20"/>
      <c r="AC7" s="18" t="n">
        <v>30</v>
      </c>
      <c r="AD7" s="21" t="n">
        <f aca="false">IF(AC7="","",C7-AC7)</f>
        <v>46298</v>
      </c>
      <c r="AE7" s="8" t="str">
        <f aca="false">IF(E7&gt;=0.2,"Over-usage: open Upsell opp + CSM/Renewals task",IF(E7&lt;=-0.2,"Under-usage: flag CSM"&amp;IF(D7="Auto","; set At risk",""),""))</f>
        <v/>
      </c>
      <c r="AF7" s="20" t="s">
        <v>99</v>
      </c>
      <c r="AG7" s="22" t="n">
        <f aca="false">IF(I7&lt;=O7,INDEX(Probability!$B$5:$F$19,MATCH(AF7,Probability!$A$5:$A$19,0),MATCH(IF(C7-$E$2&lt;0,"Overdue",IF(C7-$E$2&lt;=30,"0-30",IF(C7-$E$2&lt;=60,"31-60",IF(C7-$E$2&lt;=90,"61-90","&gt;90")))),Probability!$B$4:$F$4,0)),0)</f>
        <v>0.97</v>
      </c>
      <c r="AH7" s="24" t="n">
        <f aca="false">S7*AG7</f>
        <v>25220</v>
      </c>
      <c r="AI7" s="22" t="n">
        <f aca="false">IF(I7&lt;=O7,INDEX(Probability!$B$5:$F$19,MATCH(G7,Probability!$A$5:$A$19,0),MATCH(IF(C7-$E$2&lt;0,"Overdue",IF(C7-$E$2&lt;=30,"0-30",IF(C7-$E$2&lt;=60,"31-60",IF(C7-$E$2&lt;=90,"61-90","&gt;90")))),Probability!$B$4:$F$4,0)),0)</f>
        <v>0.6</v>
      </c>
      <c r="AJ7" s="25" t="n">
        <f aca="false">S7*AI7</f>
        <v>15600</v>
      </c>
    </row>
    <row r="8" customFormat="false" ht="48" hidden="false" customHeight="true" outlineLevel="0" collapsed="false">
      <c r="A8" s="15" t="s">
        <v>100</v>
      </c>
      <c r="B8" s="16" t="n">
        <v>45000</v>
      </c>
      <c r="C8" s="17" t="n">
        <v>46333</v>
      </c>
      <c r="D8" s="18" t="s">
        <v>73</v>
      </c>
      <c r="E8" s="19" t="n">
        <v>-0.35</v>
      </c>
      <c r="F8" s="18" t="s">
        <v>101</v>
      </c>
      <c r="G8" s="18" t="s">
        <v>102</v>
      </c>
      <c r="H8" s="20" t="s">
        <v>103</v>
      </c>
      <c r="I8" s="17" t="n">
        <v>46346</v>
      </c>
      <c r="J8" s="15" t="n">
        <f aca="false">C8-$B$2</f>
        <v>18</v>
      </c>
      <c r="K8" s="15" t="str">
        <f aca="false">IF(J8&lt;0,"Overdue",IF(J8&lt;=30,"0-30",IF(J8&lt;=60,"31-60",IF(J8&lt;=90,"61-90","&gt;90"))))</f>
        <v>0-30</v>
      </c>
      <c r="L8" s="15" t="str">
        <f aca="false">IF(AND(J8&lt;0,G8&lt;&gt;"Closed won",G8&lt;&gt;"Cancelled"),"YES","")</f>
        <v/>
      </c>
      <c r="M8" s="15" t="str">
        <f aca="false">TEXT(C8,"yyyy-mm")</f>
        <v>2026-11</v>
      </c>
      <c r="N8" s="15" t="str">
        <f aca="false">"Q"&amp;ROUNDUP(MONTH(C8)/3,0)&amp;" "&amp;YEAR(C8)</f>
        <v>Q4 2026</v>
      </c>
      <c r="O8" s="21" t="n">
        <f aca="false">EOMONTH(DATE(YEAR(C8),ROUNDUP(MONTH(C8)/3,0)*3,1),0)</f>
        <v>46387</v>
      </c>
      <c r="P8" s="22" t="n">
        <f aca="false">INDEX(Probability!$B$5:$F$19,MATCH(G8,Probability!$A$5:$A$19,0),MATCH(K8,Probability!$B$4:$F$4,0))</f>
        <v>0.1</v>
      </c>
      <c r="Q8" s="15" t="str">
        <f aca="false">IF(I8&lt;=O8,"Yes","No")</f>
        <v>Yes</v>
      </c>
      <c r="R8" s="22" t="n">
        <f aca="false">IF(Q8="Yes",P8,0)</f>
        <v>0.1</v>
      </c>
      <c r="S8" s="23" t="n">
        <f aca="false">SUMIFS(Products!$K:$K,Products!$A:$A,A8)</f>
        <v>30000</v>
      </c>
      <c r="T8" s="23" t="n">
        <f aca="false">S8*R8</f>
        <v>3000</v>
      </c>
      <c r="U8" s="15" t="str">
        <f aca="false">IF(G8="Cancelled","Lost",IF(Q8="No","Slips quarter",IF(OR(J8&lt;0,AND(J8&lt;=30,OR(G8="--None--",G8="Not started",G8="Engaging customer",G8="Negotiation",G8="Billing blocker",G8="At risk: before notice deadline",G8="Notice received"))),"Late","On time")))</f>
        <v>Late</v>
      </c>
      <c r="V8" s="20" t="s">
        <v>104</v>
      </c>
      <c r="W8" s="18" t="s">
        <v>96</v>
      </c>
      <c r="X8" s="17" t="n">
        <v>46318</v>
      </c>
      <c r="Y8" s="18" t="n">
        <v>4</v>
      </c>
      <c r="Z8" s="20" t="s">
        <v>105</v>
      </c>
      <c r="AA8" s="20" t="s">
        <v>106</v>
      </c>
      <c r="AB8" s="20" t="s">
        <v>107</v>
      </c>
      <c r="AC8" s="18" t="n">
        <v>30</v>
      </c>
      <c r="AD8" s="21" t="n">
        <f aca="false">IF(AC8="","",C8-AC8)</f>
        <v>46303</v>
      </c>
      <c r="AE8" s="8" t="str">
        <f aca="false">IF(E8&gt;=0.2,"Over-usage: open Upsell opp + CSM/Renewals task",IF(E8&lt;=-0.2,"Under-usage: flag CSM"&amp;IF(D8="Auto","; set At risk",""),""))</f>
        <v>Under-usage: flag CSM</v>
      </c>
      <c r="AF8" s="20" t="s">
        <v>85</v>
      </c>
      <c r="AG8" s="22" t="n">
        <f aca="false">IF(I8&lt;=O8,INDEX(Probability!$B$5:$F$19,MATCH(AF8,Probability!$A$5:$A$19,0),MATCH(IF(C8-$E$2&lt;0,"Overdue",IF(C8-$E$2&lt;=30,"0-30",IF(C8-$E$2&lt;=60,"31-60",IF(C8-$E$2&lt;=90,"61-90","&gt;90")))),Probability!$B$4:$F$4,0)),0)</f>
        <v>0.25</v>
      </c>
      <c r="AH8" s="24" t="n">
        <f aca="false">S8*AG8</f>
        <v>7500</v>
      </c>
      <c r="AI8" s="22" t="n">
        <f aca="false">IF(I8&lt;=O8,INDEX(Probability!$B$5:$F$19,MATCH(G8,Probability!$A$5:$A$19,0),MATCH(IF(C8-$E$2&lt;0,"Overdue",IF(C8-$E$2&lt;=30,"0-30",IF(C8-$E$2&lt;=60,"31-60",IF(C8-$E$2&lt;=90,"61-90","&gt;90")))),Probability!$B$4:$F$4,0)),0)</f>
        <v>0.1</v>
      </c>
      <c r="AJ8" s="25" t="n">
        <f aca="false">S8*AI8</f>
        <v>3000</v>
      </c>
    </row>
    <row r="9" customFormat="false" ht="48" hidden="false" customHeight="true" outlineLevel="0" collapsed="false">
      <c r="A9" s="15" t="s">
        <v>108</v>
      </c>
      <c r="B9" s="16" t="n">
        <v>36000</v>
      </c>
      <c r="C9" s="17" t="n">
        <v>46370</v>
      </c>
      <c r="D9" s="18" t="s">
        <v>73</v>
      </c>
      <c r="E9" s="19" t="n">
        <v>-0.1</v>
      </c>
      <c r="F9" s="18" t="s">
        <v>74</v>
      </c>
      <c r="G9" s="18" t="s">
        <v>109</v>
      </c>
      <c r="H9" s="20" t="s">
        <v>110</v>
      </c>
      <c r="I9" s="17" t="n">
        <v>46356</v>
      </c>
      <c r="J9" s="15" t="n">
        <f aca="false">C9-$B$2</f>
        <v>55</v>
      </c>
      <c r="K9" s="15" t="str">
        <f aca="false">IF(J9&lt;0,"Overdue",IF(J9&lt;=30,"0-30",IF(J9&lt;=60,"31-60",IF(J9&lt;=90,"61-90","&gt;90"))))</f>
        <v>31-60</v>
      </c>
      <c r="L9" s="15" t="str">
        <f aca="false">IF(AND(J9&lt;0,G9&lt;&gt;"Closed won",G9&lt;&gt;"Cancelled"),"YES","")</f>
        <v/>
      </c>
      <c r="M9" s="15" t="str">
        <f aca="false">TEXT(C9,"yyyy-mm")</f>
        <v>2026-12</v>
      </c>
      <c r="N9" s="15" t="str">
        <f aca="false">"Q"&amp;ROUNDUP(MONTH(C9)/3,0)&amp;" "&amp;YEAR(C9)</f>
        <v>Q4 2026</v>
      </c>
      <c r="O9" s="21" t="n">
        <f aca="false">EOMONTH(DATE(YEAR(C9),ROUNDUP(MONTH(C9)/3,0)*3,1),0)</f>
        <v>46387</v>
      </c>
      <c r="P9" s="22" t="n">
        <f aca="false">INDEX(Probability!$B$5:$F$19,MATCH(G9,Probability!$A$5:$A$19,0),MATCH(K9,Probability!$B$4:$F$4,0))</f>
        <v>0.5</v>
      </c>
      <c r="Q9" s="15" t="str">
        <f aca="false">IF(I9&lt;=O9,"Yes","No")</f>
        <v>Yes</v>
      </c>
      <c r="R9" s="22" t="n">
        <f aca="false">IF(Q9="Yes",P9,0)</f>
        <v>0.5</v>
      </c>
      <c r="S9" s="23" t="n">
        <f aca="false">SUMIFS(Products!$K:$K,Products!$A:$A,A9)</f>
        <v>32400</v>
      </c>
      <c r="T9" s="23" t="n">
        <f aca="false">S9*R9</f>
        <v>16200</v>
      </c>
      <c r="U9" s="15" t="str">
        <f aca="false">IF(G9="Cancelled","Lost",IF(Q9="No","Slips quarter",IF(OR(J9&lt;0,AND(J9&lt;=30,OR(G9="--None--",G9="Not started",G9="Engaging customer",G9="Negotiation",G9="Billing blocker",G9="At risk: before notice deadline",G9="Notice received"))),"Late","On time")))</f>
        <v>On time</v>
      </c>
      <c r="V9" s="20" t="s">
        <v>111</v>
      </c>
      <c r="W9" s="18" t="s">
        <v>78</v>
      </c>
      <c r="X9" s="17" t="n">
        <v>46315</v>
      </c>
      <c r="Y9" s="18" t="n">
        <v>6</v>
      </c>
      <c r="Z9" s="20" t="s">
        <v>112</v>
      </c>
      <c r="AA9" s="20" t="s">
        <v>113</v>
      </c>
      <c r="AB9" s="20"/>
      <c r="AC9" s="18"/>
      <c r="AD9" s="21" t="str">
        <f aca="false">IF(AC9="","",C9-AC9)</f>
        <v/>
      </c>
      <c r="AE9" s="8" t="str">
        <f aca="false">IF(E9&gt;=0.2,"Over-usage: open Upsell opp + CSM/Renewals task",IF(E9&lt;=-0.2,"Under-usage: flag CSM"&amp;IF(D9="Auto","; set At risk",""),""))</f>
        <v/>
      </c>
      <c r="AF9" s="20" t="s">
        <v>109</v>
      </c>
      <c r="AG9" s="22" t="n">
        <f aca="false">IF(I9&lt;=O9,INDEX(Probability!$B$5:$F$19,MATCH(AF9,Probability!$A$5:$A$19,0),MATCH(IF(C9-$E$2&lt;0,"Overdue",IF(C9-$E$2&lt;=30,"0-30",IF(C9-$E$2&lt;=60,"31-60",IF(C9-$E$2&lt;=90,"61-90","&gt;90")))),Probability!$B$4:$F$4,0)),0)</f>
        <v>0.5</v>
      </c>
      <c r="AH9" s="24" t="n">
        <f aca="false">S9*AG9</f>
        <v>16200</v>
      </c>
      <c r="AI9" s="22" t="n">
        <f aca="false">IF(I9&lt;=O9,INDEX(Probability!$B$5:$F$19,MATCH(G9,Probability!$A$5:$A$19,0),MATCH(IF(C9-$E$2&lt;0,"Overdue",IF(C9-$E$2&lt;=30,"0-30",IF(C9-$E$2&lt;=60,"31-60",IF(C9-$E$2&lt;=90,"61-90","&gt;90")))),Probability!$B$4:$F$4,0)),0)</f>
        <v>0.5</v>
      </c>
      <c r="AJ9" s="25" t="n">
        <f aca="false">S9*AI9</f>
        <v>16200</v>
      </c>
    </row>
    <row r="10" customFormat="false" ht="48" hidden="false" customHeight="true" outlineLevel="0" collapsed="false">
      <c r="A10" s="15" t="s">
        <v>114</v>
      </c>
      <c r="B10" s="16" t="n">
        <v>50000</v>
      </c>
      <c r="C10" s="17" t="n">
        <v>46344</v>
      </c>
      <c r="D10" s="18" t="s">
        <v>73</v>
      </c>
      <c r="E10" s="19" t="n">
        <v>0.05</v>
      </c>
      <c r="F10" s="18" t="s">
        <v>74</v>
      </c>
      <c r="G10" s="18" t="s">
        <v>109</v>
      </c>
      <c r="H10" s="20" t="s">
        <v>115</v>
      </c>
      <c r="I10" s="17" t="n">
        <v>46360</v>
      </c>
      <c r="J10" s="15" t="n">
        <f aca="false">C10-$B$2</f>
        <v>29</v>
      </c>
      <c r="K10" s="15" t="str">
        <f aca="false">IF(J10&lt;0,"Overdue",IF(J10&lt;=30,"0-30",IF(J10&lt;=60,"31-60",IF(J10&lt;=90,"61-90","&gt;90"))))</f>
        <v>0-30</v>
      </c>
      <c r="L10" s="15" t="str">
        <f aca="false">IF(AND(J10&lt;0,G10&lt;&gt;"Closed won",G10&lt;&gt;"Cancelled"),"YES","")</f>
        <v/>
      </c>
      <c r="M10" s="15" t="str">
        <f aca="false">TEXT(C10,"yyyy-mm")</f>
        <v>2026-11</v>
      </c>
      <c r="N10" s="15" t="str">
        <f aca="false">"Q"&amp;ROUNDUP(MONTH(C10)/3,0)&amp;" "&amp;YEAR(C10)</f>
        <v>Q4 2026</v>
      </c>
      <c r="O10" s="21" t="n">
        <f aca="false">EOMONTH(DATE(YEAR(C10),ROUNDUP(MONTH(C10)/3,0)*3,1),0)</f>
        <v>46387</v>
      </c>
      <c r="P10" s="22" t="n">
        <f aca="false">INDEX(Probability!$B$5:$F$19,MATCH(G10,Probability!$A$5:$A$19,0),MATCH(K10,Probability!$B$4:$F$4,0))</f>
        <v>0.4</v>
      </c>
      <c r="Q10" s="15" t="str">
        <f aca="false">IF(I10&lt;=O10,"Yes","No")</f>
        <v>Yes</v>
      </c>
      <c r="R10" s="22" t="n">
        <f aca="false">IF(Q10="Yes",P10,0)</f>
        <v>0.4</v>
      </c>
      <c r="S10" s="23" t="n">
        <f aca="false">SUMIFS(Products!$K:$K,Products!$A:$A,A10)</f>
        <v>50000</v>
      </c>
      <c r="T10" s="23" t="n">
        <f aca="false">S10*R10</f>
        <v>20000</v>
      </c>
      <c r="U10" s="15" t="str">
        <f aca="false">IF(G10="Cancelled","Lost",IF(Q10="No","Slips quarter",IF(OR(J10&lt;0,AND(J10&lt;=30,OR(G10="--None--",G10="Not started",G10="Engaging customer",G10="Negotiation",G10="Billing blocker",G10="At risk: before notice deadline",G10="Notice received"))),"Late","On time")))</f>
        <v>Late</v>
      </c>
      <c r="V10" s="20" t="s">
        <v>116</v>
      </c>
      <c r="W10" s="18" t="s">
        <v>117</v>
      </c>
      <c r="X10" s="17" t="n">
        <v>46318</v>
      </c>
      <c r="Y10" s="18" t="n">
        <v>5</v>
      </c>
      <c r="Z10" s="20" t="s">
        <v>118</v>
      </c>
      <c r="AA10" s="20" t="s">
        <v>119</v>
      </c>
      <c r="AB10" s="20" t="s">
        <v>120</v>
      </c>
      <c r="AC10" s="18"/>
      <c r="AD10" s="21" t="str">
        <f aca="false">IF(AC10="","",C10-AC10)</f>
        <v/>
      </c>
      <c r="AE10" s="8" t="str">
        <f aca="false">IF(E10&gt;=0.2,"Over-usage: open Upsell opp + CSM/Renewals task",IF(E10&lt;=-0.2,"Under-usage: flag CSM"&amp;IF(D10="Auto","; set At risk",""),""))</f>
        <v/>
      </c>
      <c r="AF10" s="20" t="s">
        <v>75</v>
      </c>
      <c r="AG10" s="22" t="n">
        <f aca="false">IF(I10&lt;=O10,INDEX(Probability!$B$5:$F$19,MATCH(AF10,Probability!$A$5:$A$19,0),MATCH(IF(C10-$E$2&lt;0,"Overdue",IF(C10-$E$2&lt;=30,"0-30",IF(C10-$E$2&lt;=60,"31-60",IF(C10-$E$2&lt;=90,"61-90","&gt;90")))),Probability!$B$4:$F$4,0)),0)</f>
        <v>0.75</v>
      </c>
      <c r="AH10" s="24" t="n">
        <f aca="false">S10*AG10</f>
        <v>37500</v>
      </c>
      <c r="AI10" s="22" t="n">
        <f aca="false">IF(I10&lt;=O10,INDEX(Probability!$B$5:$F$19,MATCH(G10,Probability!$A$5:$A$19,0),MATCH(IF(C10-$E$2&lt;0,"Overdue",IF(C10-$E$2&lt;=30,"0-30",IF(C10-$E$2&lt;=60,"31-60",IF(C10-$E$2&lt;=90,"61-90","&gt;90")))),Probability!$B$4:$F$4,0)),0)</f>
        <v>0.4</v>
      </c>
      <c r="AJ10" s="25" t="n">
        <f aca="false">S10*AI10</f>
        <v>20000</v>
      </c>
    </row>
    <row r="11" customFormat="false" ht="48" hidden="false" customHeight="true" outlineLevel="0" collapsed="false">
      <c r="A11" s="15" t="s">
        <v>121</v>
      </c>
      <c r="B11" s="16" t="n">
        <v>28000</v>
      </c>
      <c r="C11" s="17" t="n">
        <v>46347</v>
      </c>
      <c r="D11" s="18" t="s">
        <v>92</v>
      </c>
      <c r="E11" s="19" t="n">
        <v>0.08</v>
      </c>
      <c r="F11" s="18" t="s">
        <v>84</v>
      </c>
      <c r="G11" s="18" t="s">
        <v>93</v>
      </c>
      <c r="H11" s="20" t="s">
        <v>122</v>
      </c>
      <c r="I11" s="17" t="n">
        <v>46347</v>
      </c>
      <c r="J11" s="15" t="n">
        <f aca="false">C11-$B$2</f>
        <v>32</v>
      </c>
      <c r="K11" s="15" t="str">
        <f aca="false">IF(J11&lt;0,"Overdue",IF(J11&lt;=30,"0-30",IF(J11&lt;=60,"31-60",IF(J11&lt;=90,"61-90","&gt;90"))))</f>
        <v>31-60</v>
      </c>
      <c r="L11" s="15" t="str">
        <f aca="false">IF(AND(J11&lt;0,G11&lt;&gt;"Closed won",G11&lt;&gt;"Cancelled"),"YES","")</f>
        <v/>
      </c>
      <c r="M11" s="15" t="str">
        <f aca="false">TEXT(C11,"yyyy-mm")</f>
        <v>2026-11</v>
      </c>
      <c r="N11" s="15" t="str">
        <f aca="false">"Q"&amp;ROUNDUP(MONTH(C11)/3,0)&amp;" "&amp;YEAR(C11)</f>
        <v>Q4 2026</v>
      </c>
      <c r="O11" s="21" t="n">
        <f aca="false">EOMONTH(DATE(YEAR(C11),ROUNDUP(MONTH(C11)/3,0)*3,1),0)</f>
        <v>46387</v>
      </c>
      <c r="P11" s="22" t="n">
        <f aca="false">INDEX(Probability!$B$5:$F$19,MATCH(G11,Probability!$A$5:$A$19,0),MATCH(K11,Probability!$B$4:$F$4,0))</f>
        <v>0.7</v>
      </c>
      <c r="Q11" s="15" t="str">
        <f aca="false">IF(I11&lt;=O11,"Yes","No")</f>
        <v>Yes</v>
      </c>
      <c r="R11" s="22" t="n">
        <f aca="false">IF(Q11="Yes",P11,0)</f>
        <v>0.7</v>
      </c>
      <c r="S11" s="23" t="n">
        <f aca="false">SUMIFS(Products!$K:$K,Products!$A:$A,A11)</f>
        <v>28000</v>
      </c>
      <c r="T11" s="23" t="n">
        <f aca="false">S11*R11</f>
        <v>19600</v>
      </c>
      <c r="U11" s="15" t="str">
        <f aca="false">IF(G11="Cancelled","Lost",IF(Q11="No","Slips quarter",IF(OR(J11&lt;0,AND(J11&lt;=30,OR(G11="--None--",G11="Not started",G11="Engaging customer",G11="Negotiation",G11="Billing blocker",G11="At risk: before notice deadline",G11="Notice received"))),"Late","On time")))</f>
        <v>On time</v>
      </c>
      <c r="V11" s="20" t="s">
        <v>123</v>
      </c>
      <c r="W11" s="18" t="s">
        <v>78</v>
      </c>
      <c r="X11" s="17" t="n">
        <v>46317</v>
      </c>
      <c r="Y11" s="18" t="n">
        <v>9</v>
      </c>
      <c r="Z11" s="20" t="s">
        <v>124</v>
      </c>
      <c r="AA11" s="20" t="s">
        <v>125</v>
      </c>
      <c r="AB11" s="20"/>
      <c r="AC11" s="18" t="n">
        <v>30</v>
      </c>
      <c r="AD11" s="21" t="n">
        <f aca="false">IF(AC11="","",C11-AC11)</f>
        <v>46317</v>
      </c>
      <c r="AE11" s="8" t="str">
        <f aca="false">IF(E11&gt;=0.2,"Over-usage: open Upsell opp + CSM/Renewals task",IF(E11&lt;=-0.2,"Under-usage: flag CSM"&amp;IF(D11="Auto","; set At risk",""),""))</f>
        <v/>
      </c>
      <c r="AF11" s="20" t="s">
        <v>99</v>
      </c>
      <c r="AG11" s="22" t="n">
        <f aca="false">IF(I11&lt;=O11,INDEX(Probability!$B$5:$F$19,MATCH(AF11,Probability!$A$5:$A$19,0),MATCH(IF(C11-$E$2&lt;0,"Overdue",IF(C11-$E$2&lt;=30,"0-30",IF(C11-$E$2&lt;=60,"31-60",IF(C11-$E$2&lt;=90,"61-90","&gt;90")))),Probability!$B$4:$F$4,0)),0)</f>
        <v>0.97</v>
      </c>
      <c r="AH11" s="24" t="n">
        <f aca="false">S11*AG11</f>
        <v>27160</v>
      </c>
      <c r="AI11" s="22" t="n">
        <f aca="false">IF(I11&lt;=O11,INDEX(Probability!$B$5:$F$19,MATCH(G11,Probability!$A$5:$A$19,0),MATCH(IF(C11-$E$2&lt;0,"Overdue",IF(C11-$E$2&lt;=30,"0-30",IF(C11-$E$2&lt;=60,"31-60",IF(C11-$E$2&lt;=90,"61-90","&gt;90")))),Probability!$B$4:$F$4,0)),0)</f>
        <v>0.6</v>
      </c>
      <c r="AJ11" s="25" t="n">
        <f aca="false">S11*AI11</f>
        <v>16800</v>
      </c>
    </row>
    <row r="12" customFormat="false" ht="48" hidden="false" customHeight="true" outlineLevel="0" collapsed="false">
      <c r="A12" s="15" t="s">
        <v>126</v>
      </c>
      <c r="B12" s="16" t="n">
        <v>35000</v>
      </c>
      <c r="C12" s="17" t="n">
        <v>46354</v>
      </c>
      <c r="D12" s="18" t="s">
        <v>73</v>
      </c>
      <c r="E12" s="19" t="n">
        <v>0.4</v>
      </c>
      <c r="F12" s="18" t="s">
        <v>84</v>
      </c>
      <c r="G12" s="18" t="s">
        <v>102</v>
      </c>
      <c r="H12" s="20" t="s">
        <v>127</v>
      </c>
      <c r="I12" s="17" t="n">
        <v>46354</v>
      </c>
      <c r="J12" s="15" t="n">
        <f aca="false">C12-$B$2</f>
        <v>39</v>
      </c>
      <c r="K12" s="15" t="str">
        <f aca="false">IF(J12&lt;0,"Overdue",IF(J12&lt;=30,"0-30",IF(J12&lt;=60,"31-60",IF(J12&lt;=90,"61-90","&gt;90"))))</f>
        <v>31-60</v>
      </c>
      <c r="L12" s="15" t="str">
        <f aca="false">IF(AND(J12&lt;0,G12&lt;&gt;"Closed won",G12&lt;&gt;"Cancelled"),"YES","")</f>
        <v/>
      </c>
      <c r="M12" s="15" t="str">
        <f aca="false">TEXT(C12,"yyyy-mm")</f>
        <v>2026-11</v>
      </c>
      <c r="N12" s="15" t="str">
        <f aca="false">"Q"&amp;ROUNDUP(MONTH(C12)/3,0)&amp;" "&amp;YEAR(C12)</f>
        <v>Q4 2026</v>
      </c>
      <c r="O12" s="21" t="n">
        <f aca="false">EOMONTH(DATE(YEAR(C12),ROUNDUP(MONTH(C12)/3,0)*3,1),0)</f>
        <v>46387</v>
      </c>
      <c r="P12" s="22" t="n">
        <f aca="false">INDEX(Probability!$B$5:$F$19,MATCH(G12,Probability!$A$5:$A$19,0),MATCH(K12,Probability!$B$4:$F$4,0))</f>
        <v>0.2</v>
      </c>
      <c r="Q12" s="15" t="str">
        <f aca="false">IF(I12&lt;=O12,"Yes","No")</f>
        <v>Yes</v>
      </c>
      <c r="R12" s="22" t="n">
        <f aca="false">IF(Q12="Yes",P12,0)</f>
        <v>0.2</v>
      </c>
      <c r="S12" s="23" t="n">
        <f aca="false">SUMIFS(Products!$K:$K,Products!$A:$A,A12)</f>
        <v>35000</v>
      </c>
      <c r="T12" s="23" t="n">
        <f aca="false">S12*R12</f>
        <v>7000</v>
      </c>
      <c r="U12" s="15" t="str">
        <f aca="false">IF(G12="Cancelled","Lost",IF(Q12="No","Slips quarter",IF(OR(J12&lt;0,AND(J12&lt;=30,OR(G12="--None--",G12="Not started",G12="Engaging customer",G12="Negotiation",G12="Billing blocker",G12="At risk: before notice deadline",G12="Notice received"))),"Late","On time")))</f>
        <v>On time</v>
      </c>
      <c r="V12" s="20" t="s">
        <v>128</v>
      </c>
      <c r="W12" s="18" t="s">
        <v>96</v>
      </c>
      <c r="X12" s="17" t="n">
        <v>46323</v>
      </c>
      <c r="Y12" s="18" t="n">
        <v>8</v>
      </c>
      <c r="Z12" s="20" t="s">
        <v>129</v>
      </c>
      <c r="AA12" s="20" t="s">
        <v>130</v>
      </c>
      <c r="AB12" s="20"/>
      <c r="AC12" s="18"/>
      <c r="AD12" s="21" t="str">
        <f aca="false">IF(AC12="","",C12-AC12)</f>
        <v/>
      </c>
      <c r="AE12" s="8" t="str">
        <f aca="false">IF(E12&gt;=0.2,"Over-usage: open Upsell opp + CSM/Renewals task",IF(E12&lt;=-0.2,"Under-usage: flag CSM"&amp;IF(D12="Auto","; set At risk",""),""))</f>
        <v>Over-usage: open Upsell opp + CSM/Renewals task</v>
      </c>
      <c r="AF12" s="20" t="s">
        <v>75</v>
      </c>
      <c r="AG12" s="22" t="n">
        <f aca="false">IF(I12&lt;=O12,INDEX(Probability!$B$5:$F$19,MATCH(AF12,Probability!$A$5:$A$19,0),MATCH(IF(C12-$E$2&lt;0,"Overdue",IF(C12-$E$2&lt;=30,"0-30",IF(C12-$E$2&lt;=60,"31-60",IF(C12-$E$2&lt;=90,"61-90","&gt;90")))),Probability!$B$4:$F$4,0)),0)</f>
        <v>0.75</v>
      </c>
      <c r="AH12" s="24" t="n">
        <f aca="false">S12*AG12</f>
        <v>26250</v>
      </c>
      <c r="AI12" s="22" t="n">
        <f aca="false">IF(I12&lt;=O12,INDEX(Probability!$B$5:$F$19,MATCH(G12,Probability!$A$5:$A$19,0),MATCH(IF(C12-$E$2&lt;0,"Overdue",IF(C12-$E$2&lt;=30,"0-30",IF(C12-$E$2&lt;=60,"31-60",IF(C12-$E$2&lt;=90,"61-90","&gt;90")))),Probability!$B$4:$F$4,0)),0)</f>
        <v>0.1</v>
      </c>
      <c r="AJ12" s="25" t="n">
        <f aca="false">S12*AI12</f>
        <v>3500</v>
      </c>
    </row>
    <row r="13" customFormat="false" ht="48" hidden="false" customHeight="true" outlineLevel="0" collapsed="false">
      <c r="A13" s="15" t="s">
        <v>131</v>
      </c>
      <c r="B13" s="16" t="n">
        <v>46000</v>
      </c>
      <c r="C13" s="17" t="n">
        <v>46365</v>
      </c>
      <c r="D13" s="18" t="s">
        <v>73</v>
      </c>
      <c r="E13" s="19" t="n">
        <v>0</v>
      </c>
      <c r="F13" s="18" t="s">
        <v>74</v>
      </c>
      <c r="G13" s="18" t="s">
        <v>85</v>
      </c>
      <c r="H13" s="20" t="s">
        <v>132</v>
      </c>
      <c r="I13" s="17" t="n">
        <v>46365</v>
      </c>
      <c r="J13" s="15" t="n">
        <f aca="false">C13-$B$2</f>
        <v>50</v>
      </c>
      <c r="K13" s="15" t="str">
        <f aca="false">IF(J13&lt;0,"Overdue",IF(J13&lt;=30,"0-30",IF(J13&lt;=60,"31-60",IF(J13&lt;=90,"61-90","&gt;90"))))</f>
        <v>31-60</v>
      </c>
      <c r="L13" s="15" t="str">
        <f aca="false">IF(AND(J13&lt;0,G13&lt;&gt;"Closed won",G13&lt;&gt;"Cancelled"),"YES","")</f>
        <v/>
      </c>
      <c r="M13" s="15" t="str">
        <f aca="false">TEXT(C13,"yyyy-mm")</f>
        <v>2026-12</v>
      </c>
      <c r="N13" s="15" t="str">
        <f aca="false">"Q"&amp;ROUNDUP(MONTH(C13)/3,0)&amp;" "&amp;YEAR(C13)</f>
        <v>Q4 2026</v>
      </c>
      <c r="O13" s="21" t="n">
        <f aca="false">EOMONTH(DATE(YEAR(C13),ROUNDUP(MONTH(C13)/3,0)*3,1),0)</f>
        <v>46387</v>
      </c>
      <c r="P13" s="22" t="n">
        <f aca="false">INDEX(Probability!$B$5:$F$19,MATCH(G13,Probability!$A$5:$A$19,0),MATCH(K13,Probability!$B$4:$F$4,0))</f>
        <v>0.35</v>
      </c>
      <c r="Q13" s="15" t="str">
        <f aca="false">IF(I13&lt;=O13,"Yes","No")</f>
        <v>Yes</v>
      </c>
      <c r="R13" s="22" t="n">
        <f aca="false">IF(Q13="Yes",P13,0)</f>
        <v>0.35</v>
      </c>
      <c r="S13" s="23" t="n">
        <f aca="false">SUMIFS(Products!$K:$K,Products!$A:$A,A13)</f>
        <v>46000</v>
      </c>
      <c r="T13" s="23" t="n">
        <f aca="false">S13*R13</f>
        <v>16100</v>
      </c>
      <c r="U13" s="15" t="str">
        <f aca="false">IF(G13="Cancelled","Lost",IF(Q13="No","Slips quarter",IF(OR(J13&lt;0,AND(J13&lt;=30,OR(G13="--None--",G13="Not started",G13="Engaging customer",G13="Negotiation",G13="Billing blocker",G13="At risk: before notice deadline",G13="Notice received"))),"Late","On time")))</f>
        <v>On time</v>
      </c>
      <c r="V13" s="20" t="s">
        <v>133</v>
      </c>
      <c r="W13" s="18" t="s">
        <v>78</v>
      </c>
      <c r="X13" s="17" t="n">
        <v>46322</v>
      </c>
      <c r="Y13" s="18" t="n">
        <v>7</v>
      </c>
      <c r="Z13" s="20" t="s">
        <v>134</v>
      </c>
      <c r="AA13" s="20" t="s">
        <v>135</v>
      </c>
      <c r="AB13" s="20"/>
      <c r="AC13" s="18"/>
      <c r="AD13" s="21" t="str">
        <f aca="false">IF(AC13="","",C13-AC13)</f>
        <v/>
      </c>
      <c r="AE13" s="8" t="str">
        <f aca="false">IF(E13&gt;=0.2,"Over-usage: open Upsell opp + CSM/Renewals task",IF(E13&lt;=-0.2,"Under-usage: flag CSM"&amp;IF(D13="Auto","; set At risk",""),""))</f>
        <v/>
      </c>
      <c r="AF13" s="20" t="s">
        <v>75</v>
      </c>
      <c r="AG13" s="22" t="n">
        <f aca="false">IF(I13&lt;=O13,INDEX(Probability!$B$5:$F$19,MATCH(AF13,Probability!$A$5:$A$19,0),MATCH(IF(C13-$E$2&lt;0,"Overdue",IF(C13-$E$2&lt;=30,"0-30",IF(C13-$E$2&lt;=60,"31-60",IF(C13-$E$2&lt;=90,"61-90","&gt;90")))),Probability!$B$4:$F$4,0)),0)</f>
        <v>0.7</v>
      </c>
      <c r="AH13" s="24" t="n">
        <f aca="false">S13*AG13</f>
        <v>32200</v>
      </c>
      <c r="AI13" s="22" t="n">
        <f aca="false">IF(I13&lt;=O13,INDEX(Probability!$B$5:$F$19,MATCH(G13,Probability!$A$5:$A$19,0),MATCH(IF(C13-$E$2&lt;0,"Overdue",IF(C13-$E$2&lt;=30,"0-30",IF(C13-$E$2&lt;=60,"31-60",IF(C13-$E$2&lt;=90,"61-90","&gt;90")))),Probability!$B$4:$F$4,0)),0)</f>
        <v>0.35</v>
      </c>
      <c r="AJ13" s="25" t="n">
        <f aca="false">S13*AI13</f>
        <v>16100</v>
      </c>
    </row>
    <row r="14" customFormat="false" ht="48" hidden="false" customHeight="true" outlineLevel="0" collapsed="false">
      <c r="A14" s="15" t="s">
        <v>136</v>
      </c>
      <c r="B14" s="16" t="n">
        <v>40000</v>
      </c>
      <c r="C14" s="17" t="n">
        <v>46375</v>
      </c>
      <c r="D14" s="18" t="s">
        <v>92</v>
      </c>
      <c r="E14" s="19" t="n">
        <v>-0.2</v>
      </c>
      <c r="F14" s="18" t="s">
        <v>74</v>
      </c>
      <c r="G14" s="18" t="s">
        <v>137</v>
      </c>
      <c r="H14" s="20" t="s">
        <v>138</v>
      </c>
      <c r="I14" s="17" t="n">
        <v>46375</v>
      </c>
      <c r="J14" s="15" t="n">
        <f aca="false">C14-$B$2</f>
        <v>60</v>
      </c>
      <c r="K14" s="15" t="str">
        <f aca="false">IF(J14&lt;0,"Overdue",IF(J14&lt;=30,"0-30",IF(J14&lt;=60,"31-60",IF(J14&lt;=90,"61-90","&gt;90"))))</f>
        <v>31-60</v>
      </c>
      <c r="L14" s="15" t="str">
        <f aca="false">IF(AND(J14&lt;0,G14&lt;&gt;"Closed won",G14&lt;&gt;"Cancelled"),"YES","")</f>
        <v/>
      </c>
      <c r="M14" s="15" t="str">
        <f aca="false">TEXT(C14,"yyyy-mm")</f>
        <v>2026-12</v>
      </c>
      <c r="N14" s="15" t="str">
        <f aca="false">"Q"&amp;ROUNDUP(MONTH(C14)/3,0)&amp;" "&amp;YEAR(C14)</f>
        <v>Q4 2026</v>
      </c>
      <c r="O14" s="21" t="n">
        <f aca="false">EOMONTH(DATE(YEAR(C14),ROUNDUP(MONTH(C14)/3,0)*3,1),0)</f>
        <v>46387</v>
      </c>
      <c r="P14" s="22" t="n">
        <f aca="false">INDEX(Probability!$B$5:$F$19,MATCH(G14,Probability!$A$5:$A$19,0),MATCH(K14,Probability!$B$4:$F$4,0))</f>
        <v>0.4</v>
      </c>
      <c r="Q14" s="15" t="str">
        <f aca="false">IF(I14&lt;=O14,"Yes","No")</f>
        <v>Yes</v>
      </c>
      <c r="R14" s="22" t="n">
        <f aca="false">IF(Q14="Yes",P14,0)</f>
        <v>0.4</v>
      </c>
      <c r="S14" s="23" t="n">
        <f aca="false">SUMIFS(Products!$K:$K,Products!$A:$A,A14)</f>
        <v>32000</v>
      </c>
      <c r="T14" s="23" t="n">
        <f aca="false">S14*R14</f>
        <v>12800</v>
      </c>
      <c r="U14" s="15" t="str">
        <f aca="false">IF(G14="Cancelled","Lost",IF(Q14="No","Slips quarter",IF(OR(J14&lt;0,AND(J14&lt;=30,OR(G14="--None--",G14="Not started",G14="Engaging customer",G14="Negotiation",G14="Billing blocker",G14="At risk: before notice deadline",G14="Notice received"))),"Late","On time")))</f>
        <v>On time</v>
      </c>
      <c r="V14" s="20" t="s">
        <v>139</v>
      </c>
      <c r="W14" s="18" t="s">
        <v>96</v>
      </c>
      <c r="X14" s="17" t="n">
        <v>46325</v>
      </c>
      <c r="Y14" s="18" t="n">
        <v>10</v>
      </c>
      <c r="Z14" s="20" t="s">
        <v>140</v>
      </c>
      <c r="AA14" s="20" t="s">
        <v>141</v>
      </c>
      <c r="AB14" s="20"/>
      <c r="AC14" s="18" t="n">
        <v>30</v>
      </c>
      <c r="AD14" s="21" t="n">
        <f aca="false">IF(AC14="","",C14-AC14)</f>
        <v>46345</v>
      </c>
      <c r="AE14" s="8" t="str">
        <f aca="false">IF(E14&gt;=0.2,"Over-usage: open Upsell opp + CSM/Renewals task",IF(E14&lt;=-0.2,"Under-usage: flag CSM"&amp;IF(D14="Auto","; set At risk",""),""))</f>
        <v>Under-usage: flag CSM; set At risk</v>
      </c>
      <c r="AF14" s="20" t="s">
        <v>137</v>
      </c>
      <c r="AG14" s="22" t="n">
        <f aca="false">IF(I14&lt;=O14,INDEX(Probability!$B$5:$F$19,MATCH(AF14,Probability!$A$5:$A$19,0),MATCH(IF(C14-$E$2&lt;0,"Overdue",IF(C14-$E$2&lt;=30,"0-30",IF(C14-$E$2&lt;=60,"31-60",IF(C14-$E$2&lt;=90,"61-90","&gt;90")))),Probability!$B$4:$F$4,0)),0)</f>
        <v>0.4</v>
      </c>
      <c r="AH14" s="24" t="n">
        <f aca="false">S14*AG14</f>
        <v>12800</v>
      </c>
      <c r="AI14" s="22" t="n">
        <f aca="false">IF(I14&lt;=O14,INDEX(Probability!$B$5:$F$19,MATCH(G14,Probability!$A$5:$A$19,0),MATCH(IF(C14-$E$2&lt;0,"Overdue",IF(C14-$E$2&lt;=30,"0-30",IF(C14-$E$2&lt;=60,"31-60",IF(C14-$E$2&lt;=90,"61-90","&gt;90")))),Probability!$B$4:$F$4,0)),0)</f>
        <v>0.4</v>
      </c>
      <c r="AJ14" s="25" t="n">
        <f aca="false">S14*AI14</f>
        <v>12800</v>
      </c>
    </row>
    <row r="15" customFormat="false" ht="15" hidden="false" customHeight="false" outlineLevel="0" collapsed="false">
      <c r="A15" s="2" t="s">
        <v>142</v>
      </c>
      <c r="B15" s="26" t="n">
        <f aca="false">SUM(B5:B14)</f>
        <v>375000</v>
      </c>
      <c r="S15" s="26" t="n">
        <f aca="false">SUM(S5:S14)</f>
        <v>348400</v>
      </c>
      <c r="T15" s="26" t="n">
        <f aca="false">SUM(T5:T14)</f>
        <v>132800</v>
      </c>
      <c r="AH15" s="26" t="n">
        <f aca="false">SUM(AH5:AH14)</f>
        <v>245130</v>
      </c>
      <c r="AJ15" s="26" t="n">
        <f aca="false">SUM(AJ5:AJ14)</f>
        <v>119300</v>
      </c>
    </row>
    <row r="18" customFormat="false" ht="15" hidden="false" customHeight="false" outlineLevel="0" collapsed="false">
      <c r="A18" s="27" t="s">
        <v>143</v>
      </c>
    </row>
    <row r="19" customFormat="false" ht="15" hidden="false" customHeight="false" outlineLevel="0" collapsed="false">
      <c r="A19" s="28" t="s">
        <v>144</v>
      </c>
      <c r="B19" s="28" t="s">
        <v>62</v>
      </c>
      <c r="C19" s="28" t="s">
        <v>145</v>
      </c>
      <c r="D19" s="28" t="s">
        <v>146</v>
      </c>
    </row>
    <row r="20" customFormat="false" ht="15" hidden="false" customHeight="false" outlineLevel="0" collapsed="false">
      <c r="A20" s="15" t="s">
        <v>147</v>
      </c>
      <c r="B20" s="23" t="n">
        <f aca="false">SUMIFS(T5:T14,U5:U14,"On time")</f>
        <v>71700</v>
      </c>
      <c r="C20" s="23" t="n">
        <f aca="false">SUMIFS(S5:S14,U5:U14,"On time")</f>
        <v>173400</v>
      </c>
      <c r="D20" s="15" t="str">
        <f aca="false">COUNTIFS(U5:U14,"On time")&amp;" renewals"</f>
        <v>5 renewals</v>
      </c>
    </row>
    <row r="21" customFormat="false" ht="15" hidden="false" customHeight="false" outlineLevel="0" collapsed="false">
      <c r="A21" s="15" t="s">
        <v>148</v>
      </c>
      <c r="B21" s="23" t="n">
        <f aca="false">SUMIFS(T5:T14,U5:U14,"Late")</f>
        <v>61100</v>
      </c>
      <c r="C21" s="23" t="n">
        <f aca="false">SUMIFS(S5:S14,U5:U14,"Late")</f>
        <v>175000</v>
      </c>
      <c r="D21" s="15" t="str">
        <f aca="false">COUNTIFS(U5:U14,"Late")&amp;" renewals"</f>
        <v>5 renewals</v>
      </c>
    </row>
    <row r="22" customFormat="false" ht="15" hidden="false" customHeight="false" outlineLevel="0" collapsed="false">
      <c r="A22" s="15" t="s">
        <v>149</v>
      </c>
      <c r="B22" s="23" t="n">
        <f aca="false">SUMIFS(T5:T14,U5:U14,"Slips quarter")</f>
        <v>0</v>
      </c>
      <c r="C22" s="23" t="n">
        <f aca="false">SUMIFS(S5:S14,U5:U14,"Slips quarter")</f>
        <v>0</v>
      </c>
      <c r="D22" s="15" t="str">
        <f aca="false">COUNTIFS(U5:U14,"Slips quarter")&amp;" renewals"</f>
        <v>0 renewals</v>
      </c>
    </row>
    <row r="23" customFormat="false" ht="15" hidden="false" customHeight="false" outlineLevel="0" collapsed="false">
      <c r="A23" s="7" t="s">
        <v>150</v>
      </c>
      <c r="B23" s="29" t="n">
        <f aca="false">SUM(B20:B22)</f>
        <v>132800</v>
      </c>
      <c r="C23" s="23" t="n">
        <f aca="false">SUM(C20:C22)</f>
        <v>348400</v>
      </c>
      <c r="D23" s="30"/>
    </row>
    <row r="24" customFormat="false" ht="15" hidden="false" customHeight="false" outlineLevel="0" collapsed="false">
      <c r="A24" s="2" t="s">
        <v>151</v>
      </c>
    </row>
    <row r="25" customFormat="false" ht="15" hidden="false" customHeight="false" outlineLevel="0" collapsed="false">
      <c r="A25" s="15" t="s">
        <v>152</v>
      </c>
      <c r="B25" s="31" t="n">
        <f aca="false">'Opp summary'!E15</f>
        <v>-23000</v>
      </c>
    </row>
    <row r="26" customFormat="false" ht="15" hidden="false" customHeight="false" outlineLevel="0" collapsed="false">
      <c r="A26" s="15" t="s">
        <v>153</v>
      </c>
      <c r="B26" s="31" t="n">
        <f aca="false">'Opp summary'!F15</f>
        <v>0</v>
      </c>
    </row>
    <row r="27" customFormat="false" ht="15" hidden="false" customHeight="false" outlineLevel="0" collapsed="false">
      <c r="A27" s="15" t="s">
        <v>154</v>
      </c>
      <c r="B27" s="31" t="n">
        <f aca="false">'Opp summary'!H15</f>
        <v>-3600</v>
      </c>
    </row>
    <row r="28" customFormat="false" ht="15" hidden="false" customHeight="false" outlineLevel="0" collapsed="false">
      <c r="A28" s="15" t="s">
        <v>155</v>
      </c>
      <c r="B28" s="32" t="n">
        <f aca="false">(B15+B25+B27)/B15</f>
        <v>0.929066666666667</v>
      </c>
    </row>
    <row r="29" customFormat="false" ht="15" hidden="false" customHeight="false" outlineLevel="0" collapsed="false">
      <c r="A29" s="15" t="s">
        <v>156</v>
      </c>
      <c r="B29" s="32" t="n">
        <f aca="false">S15/B15</f>
        <v>0.929066666666667</v>
      </c>
    </row>
    <row r="31" customFormat="false" ht="15" hidden="false" customHeight="false" outlineLevel="0" collapsed="false">
      <c r="A31" s="27" t="s">
        <v>13</v>
      </c>
    </row>
    <row r="32" customFormat="false" ht="15" hidden="false" customHeight="false" outlineLevel="0" collapsed="false">
      <c r="A32" s="15" t="s">
        <v>157</v>
      </c>
      <c r="B32" s="29" t="n">
        <f aca="false">T15</f>
        <v>132800</v>
      </c>
    </row>
    <row r="33" customFormat="false" ht="15" hidden="false" customHeight="false" outlineLevel="0" collapsed="false">
      <c r="A33" s="15" t="s">
        <v>158</v>
      </c>
      <c r="B33" s="33" t="n">
        <f aca="false">AH15</f>
        <v>245130</v>
      </c>
    </row>
    <row r="34" customFormat="false" ht="15" hidden="false" customHeight="false" outlineLevel="0" collapsed="false">
      <c r="A34" s="15" t="s">
        <v>159</v>
      </c>
      <c r="B34" s="33" t="n">
        <f aca="false">B33-B32</f>
        <v>112330</v>
      </c>
    </row>
    <row r="35" customFormat="false" ht="15" hidden="false" customHeight="false" outlineLevel="0" collapsed="false">
      <c r="A35" s="15" t="s">
        <v>160</v>
      </c>
      <c r="B35" s="34" t="n">
        <f aca="false">AJ15</f>
        <v>119300</v>
      </c>
    </row>
    <row r="36" customFormat="false" ht="15" hidden="false" customHeight="false" outlineLevel="0" collapsed="false">
      <c r="A36" s="15" t="s">
        <v>161</v>
      </c>
      <c r="B36" s="34" t="n">
        <f aca="false">B35-B32</f>
        <v>-13500</v>
      </c>
    </row>
    <row r="37" customFormat="false" ht="15" hidden="false" customHeight="false" outlineLevel="0" collapsed="false">
      <c r="A37" s="15" t="s">
        <v>162</v>
      </c>
      <c r="B37" s="33" t="n">
        <f aca="false">B33-B35</f>
        <v>125830</v>
      </c>
    </row>
  </sheetData>
  <conditionalFormatting sqref="L5:L14">
    <cfRule type="expression" priority="2" aboveAverage="0" equalAverage="0" bottom="0" percent="0" rank="0" text="" dxfId="0">
      <formula>L5="YES"</formula>
    </cfRule>
  </conditionalFormatting>
  <conditionalFormatting sqref="K5:K14">
    <cfRule type="expression" priority="3" aboveAverage="0" equalAverage="0" bottom="0" percent="0" rank="0" text="" dxfId="2">
      <formula>K5="0-30"</formula>
    </cfRule>
  </conditionalFormatting>
  <conditionalFormatting sqref="F5:F14">
    <cfRule type="expression" priority="4" aboveAverage="0" equalAverage="0" bottom="0" percent="0" rank="0" text="" dxfId="1">
      <formula>F5="Red"</formula>
    </cfRule>
    <cfRule type="expression" priority="5" aboveAverage="0" equalAverage="0" bottom="0" percent="0" rank="0" text="" dxfId="3">
      <formula>F5="Green"</formula>
    </cfRule>
  </conditionalFormatting>
  <conditionalFormatting sqref="P5:P14">
    <cfRule type="cellIs" priority="6" operator="lessThan" aboveAverage="0" equalAverage="0" bottom="0" percent="0" rank="0" text="" dxfId="1">
      <formula>0.4</formula>
    </cfRule>
    <cfRule type="cellIs" priority="7" operator="greaterThanOrEqual" aboveAverage="0" equalAverage="0" bottom="0" percent="0" rank="0" text="" dxfId="3">
      <formula>0.8</formula>
    </cfRule>
  </conditionalFormatting>
  <conditionalFormatting sqref="Q5:Q14">
    <cfRule type="expression" priority="8" aboveAverage="0" equalAverage="0" bottom="0" percent="0" rank="0" text="" dxfId="1">
      <formula>Q5="No"</formula>
    </cfRule>
  </conditionalFormatting>
  <conditionalFormatting sqref="U5:U14">
    <cfRule type="expression" priority="9" aboveAverage="0" equalAverage="0" bottom="0" percent="0" rank="0" text="" dxfId="2">
      <formula>U5="Late"</formula>
    </cfRule>
    <cfRule type="expression" priority="10" aboveAverage="0" equalAverage="0" bottom="0" percent="0" rank="0" text="" dxfId="1">
      <formula>OR(U5="Lost",U5="Slips quarter")</formula>
    </cfRule>
    <cfRule type="expression" priority="11" aboveAverage="0" equalAverage="0" bottom="0" percent="0" rank="0" text="" dxfId="3">
      <formula>U5="On time"</formula>
    </cfRule>
  </conditionalFormatting>
  <conditionalFormatting sqref="AB5:AB14">
    <cfRule type="expression" priority="12" aboveAverage="0" equalAverage="0" bottom="0" percent="0" rank="0" text="" dxfId="0">
      <formula>LEFT(AB5,3)="Yes"</formula>
    </cfRule>
  </conditionalFormatting>
  <conditionalFormatting sqref="G5:G14">
    <cfRule type="expression" priority="13" aboveAverage="0" equalAverage="0" bottom="0" percent="0" rank="0" text="" dxfId="1">
      <formula>AND(G5&lt;&gt;"",INDEX(Probability!$H$5:$H$19,MATCH(G5,Probability!$A$5:$A$19,0))&lt;&gt;"Both",INDEX(Probability!$H$5:$H$19,MATCH(G5,Probability!$A$5:$A$19,0))&lt;&gt;$D5)</formula>
    </cfRule>
  </conditionalFormatting>
  <conditionalFormatting sqref="AF5:AF14">
    <cfRule type="expression" priority="14" aboveAverage="0" equalAverage="0" bottom="0" percent="0" rank="0" text="" dxfId="1">
      <formula>AND(AF5&lt;&gt;"",INDEX(Probability!$H$5:$H$19,MATCH(AF5,Probability!$A$5:$A$19,0))&lt;&gt;"Both",INDEX(Probability!$H$5:$H$19,MATCH(AF5,Probability!$A$5:$A$19,0))&lt;&gt;$D5)</formula>
    </cfRule>
  </conditionalFormatting>
  <conditionalFormatting sqref="AE5:AE14">
    <cfRule type="expression" priority="15" aboveAverage="0" equalAverage="0" bottom="0" percent="0" rank="0" text="" dxfId="2">
      <formula>LEFT(AE5,5)="Under"</formula>
    </cfRule>
    <cfRule type="expression" priority="16" aboveAverage="0" equalAverage="0" bottom="0" percent="0" rank="0" text="" dxfId="3">
      <formula>LEFT(AE5,4)="Over"</formula>
    </cfRule>
  </conditionalFormatting>
  <conditionalFormatting sqref="AD5:AD14">
    <cfRule type="expression" priority="17" aboveAverage="0" equalAverage="0" bottom="0" percent="0" rank="0" text="" dxfId="1">
      <formula>AND(AD5&lt;&gt;"",AD5&lt;$B$2)</formula>
    </cfRule>
  </conditionalFormatting>
  <dataValidations count="5">
    <dataValidation allowBlank="false" errorStyle="stop" operator="between" showDropDown="false" showErrorMessage="false" showInputMessage="false" sqref="G5:G14" type="list">
      <formula1>Probability!$A$5:$A$19</formula1>
      <formula2>0</formula2>
    </dataValidation>
    <dataValidation allowBlank="false" errorStyle="stop" operator="between" showDropDown="false" showErrorMessage="false" showInputMessage="false" sqref="AF5:AF14" type="list">
      <formula1>Probability!$A$5:$A$19</formula1>
      <formula2>0</formula2>
    </dataValidation>
    <dataValidation allowBlank="false" errorStyle="stop" operator="between" showDropDown="false" showErrorMessage="false" showInputMessage="false" sqref="F5:F14" type="list">
      <formula1>"Green,Yellow,Red"</formula1>
      <formula2>0</formula2>
    </dataValidation>
    <dataValidation allowBlank="false" errorStyle="stop" operator="between" showDropDown="false" showErrorMessage="false" showInputMessage="false" sqref="D5:D14" type="list">
      <formula1>"Manual,Auto"</formula1>
      <formula2>0</formula2>
    </dataValidation>
    <dataValidation allowBlank="false" errorStyle="stop" operator="between" showDropDown="false" showErrorMessage="false" showInputMessage="false" sqref="W5:W14" type="list">
      <formula1>"Me,CSM,Finance,Legal"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3" min="3" style="0" width="12"/>
    <col collapsed="false" customWidth="true" hidden="false" outlineLevel="0" max="4" min="4" style="0" width="8"/>
    <col collapsed="false" customWidth="true" hidden="false" outlineLevel="0" max="5" min="5" style="0" width="10"/>
    <col collapsed="false" customWidth="true" hidden="false" outlineLevel="0" max="7" min="6" style="0" width="13"/>
    <col collapsed="false" customWidth="true" hidden="false" outlineLevel="0" max="9" min="8" style="0" width="10"/>
    <col collapsed="false" customWidth="true" hidden="false" outlineLevel="0" max="10" min="10" style="0" width="14"/>
    <col collapsed="false" customWidth="true" hidden="false" outlineLevel="0" max="12" min="11" style="0" width="13"/>
    <col collapsed="false" customWidth="true" hidden="false" outlineLevel="0" max="13" min="13" style="0" width="8"/>
    <col collapsed="false" customWidth="true" hidden="false" outlineLevel="0" max="14" min="14" style="0" width="22"/>
    <col collapsed="false" customWidth="true" hidden="false" outlineLevel="0" max="15" min="15" style="0" width="12"/>
    <col collapsed="false" customWidth="true" hidden="false" outlineLevel="0" max="16" min="16" style="0" width="44"/>
  </cols>
  <sheetData>
    <row r="1" customFormat="false" ht="16.15" hidden="false" customHeight="false" outlineLevel="0" collapsed="false">
      <c r="A1" s="4" t="s">
        <v>163</v>
      </c>
    </row>
    <row r="2" customFormat="false" ht="57.75" hidden="false" customHeight="true" outlineLevel="0" collapsed="false">
      <c r="A2" s="35" t="s">
        <v>164</v>
      </c>
      <c r="B2" s="35"/>
      <c r="C2" s="35"/>
      <c r="D2" s="35"/>
      <c r="E2" s="35"/>
      <c r="F2" s="35"/>
      <c r="G2" s="35"/>
      <c r="H2" s="35"/>
      <c r="I2" s="35"/>
      <c r="J2" s="35"/>
      <c r="K2" s="35"/>
      <c r="L2" s="35"/>
      <c r="M2" s="35"/>
      <c r="N2" s="35"/>
    </row>
    <row r="4" customFormat="false" ht="31.5" hidden="false" customHeight="true" outlineLevel="0" collapsed="false">
      <c r="A4" s="6" t="s">
        <v>165</v>
      </c>
      <c r="B4" s="6" t="s">
        <v>166</v>
      </c>
      <c r="C4" s="6" t="s">
        <v>167</v>
      </c>
      <c r="D4" s="6" t="s">
        <v>168</v>
      </c>
      <c r="E4" s="6" t="s">
        <v>169</v>
      </c>
      <c r="F4" s="6" t="s">
        <v>170</v>
      </c>
      <c r="G4" s="6" t="s">
        <v>171</v>
      </c>
      <c r="H4" s="6" t="s">
        <v>172</v>
      </c>
      <c r="I4" s="6" t="s">
        <v>173</v>
      </c>
      <c r="J4" s="6" t="s">
        <v>174</v>
      </c>
      <c r="K4" s="6" t="s">
        <v>61</v>
      </c>
      <c r="L4" s="6" t="s">
        <v>175</v>
      </c>
      <c r="M4" s="6" t="s">
        <v>176</v>
      </c>
      <c r="N4" s="6" t="s">
        <v>177</v>
      </c>
      <c r="O4" s="6" t="s">
        <v>178</v>
      </c>
      <c r="P4" s="6" t="s">
        <v>179</v>
      </c>
    </row>
    <row r="5" customFormat="false" ht="15" hidden="false" customHeight="false" outlineLevel="0" collapsed="false">
      <c r="A5" s="15" t="s">
        <v>72</v>
      </c>
      <c r="B5" s="15" t="s">
        <v>180</v>
      </c>
      <c r="C5" s="18" t="s">
        <v>181</v>
      </c>
      <c r="D5" s="18" t="n">
        <v>1</v>
      </c>
      <c r="E5" s="18" t="s">
        <v>182</v>
      </c>
      <c r="F5" s="23" t="n">
        <v>21000</v>
      </c>
      <c r="G5" s="16" t="n">
        <v>0</v>
      </c>
      <c r="H5" s="22" t="n">
        <v>0</v>
      </c>
      <c r="I5" s="19" t="n">
        <v>0</v>
      </c>
      <c r="J5" s="23" t="n">
        <f aca="false">IF(C5="Churn",0,F5*(1+H5)+G5)</f>
        <v>21000</v>
      </c>
      <c r="K5" s="23" t="n">
        <f aca="false">J5*(1-I5)</f>
        <v>21000</v>
      </c>
      <c r="L5" s="23" t="n">
        <f aca="false">K5-F5</f>
        <v>0</v>
      </c>
      <c r="M5" s="22" t="n">
        <f aca="false">IF(F5=0,"new",L5/F5)</f>
        <v>0</v>
      </c>
      <c r="N5" s="15" t="str">
        <f aca="false">IF(I5=0,"None",IF(AND(D5&gt;=2,I5&lt;=0.05),"None (multi-year)",IF(I5&lt;=0.12,"Finance","VP Customer Success")))</f>
        <v>None</v>
      </c>
      <c r="O5" s="15" t="str">
        <f aca="false">IF(D5&lt;2,"n/a",IF(E5="Upfront","Locked (0%)","5% a year"))</f>
        <v>n/a</v>
      </c>
      <c r="P5" s="15" t="s">
        <v>183</v>
      </c>
    </row>
    <row r="6" customFormat="false" ht="15" hidden="false" customHeight="false" outlineLevel="0" collapsed="false">
      <c r="A6" s="15" t="s">
        <v>83</v>
      </c>
      <c r="B6" s="15" t="s">
        <v>184</v>
      </c>
      <c r="C6" s="18" t="s">
        <v>181</v>
      </c>
      <c r="D6" s="18" t="n">
        <v>1</v>
      </c>
      <c r="E6" s="18" t="s">
        <v>182</v>
      </c>
      <c r="F6" s="23" t="n">
        <v>48000</v>
      </c>
      <c r="G6" s="16" t="n">
        <v>0</v>
      </c>
      <c r="H6" s="22" t="n">
        <v>0</v>
      </c>
      <c r="I6" s="19" t="n">
        <v>0</v>
      </c>
      <c r="J6" s="23" t="n">
        <f aca="false">IF(C6="Churn",0,F6*(1+H6)+G6)</f>
        <v>48000</v>
      </c>
      <c r="K6" s="23" t="n">
        <f aca="false">J6*(1-I6)</f>
        <v>48000</v>
      </c>
      <c r="L6" s="23" t="n">
        <f aca="false">K6-F6</f>
        <v>0</v>
      </c>
      <c r="M6" s="22" t="n">
        <f aca="false">IF(F6=0,"new",L6/F6)</f>
        <v>0</v>
      </c>
      <c r="N6" s="15" t="str">
        <f aca="false">IF(I6=0,"None",IF(AND(D6&gt;=2,I6&lt;=0.05),"None (multi-year)",IF(I6&lt;=0.12,"Finance","VP Customer Success")))</f>
        <v>None</v>
      </c>
      <c r="O6" s="15" t="str">
        <f aca="false">IF(D6&lt;2,"n/a",IF(E6="Upfront","Locked (0%)","5% a year"))</f>
        <v>n/a</v>
      </c>
      <c r="P6" s="15" t="s">
        <v>185</v>
      </c>
    </row>
    <row r="7" customFormat="false" ht="15" hidden="false" customHeight="false" outlineLevel="0" collapsed="false">
      <c r="A7" s="15" t="s">
        <v>91</v>
      </c>
      <c r="B7" s="15" t="s">
        <v>180</v>
      </c>
      <c r="C7" s="18" t="s">
        <v>181</v>
      </c>
      <c r="D7" s="18" t="n">
        <v>1</v>
      </c>
      <c r="E7" s="18" t="s">
        <v>182</v>
      </c>
      <c r="F7" s="23" t="n">
        <v>26000</v>
      </c>
      <c r="G7" s="16" t="n">
        <v>0</v>
      </c>
      <c r="H7" s="22" t="n">
        <v>0</v>
      </c>
      <c r="I7" s="19" t="n">
        <v>0</v>
      </c>
      <c r="J7" s="23" t="n">
        <f aca="false">IF(C7="Churn",0,F7*(1+H7)+G7)</f>
        <v>26000</v>
      </c>
      <c r="K7" s="23" t="n">
        <f aca="false">J7*(1-I7)</f>
        <v>26000</v>
      </c>
      <c r="L7" s="23" t="n">
        <f aca="false">K7-F7</f>
        <v>0</v>
      </c>
      <c r="M7" s="22" t="n">
        <f aca="false">IF(F7=0,"new",L7/F7)</f>
        <v>0</v>
      </c>
      <c r="N7" s="15" t="str">
        <f aca="false">IF(I7=0,"None",IF(AND(D7&gt;=2,I7&lt;=0.05),"None (multi-year)",IF(I7&lt;=0.12,"Finance","VP Customer Success")))</f>
        <v>None</v>
      </c>
      <c r="O7" s="15" t="str">
        <f aca="false">IF(D7&lt;2,"n/a",IF(E7="Upfront","Locked (0%)","5% a year"))</f>
        <v>n/a</v>
      </c>
      <c r="P7" s="15" t="s">
        <v>186</v>
      </c>
    </row>
    <row r="8" customFormat="false" ht="15" hidden="false" customHeight="false" outlineLevel="0" collapsed="false">
      <c r="A8" s="15" t="s">
        <v>100</v>
      </c>
      <c r="B8" s="15" t="s">
        <v>187</v>
      </c>
      <c r="C8" s="18" t="s">
        <v>188</v>
      </c>
      <c r="D8" s="18" t="n">
        <v>1</v>
      </c>
      <c r="E8" s="18" t="s">
        <v>182</v>
      </c>
      <c r="F8" s="23" t="n">
        <v>45000</v>
      </c>
      <c r="G8" s="16" t="n">
        <v>-15000</v>
      </c>
      <c r="H8" s="22" t="n">
        <v>0</v>
      </c>
      <c r="I8" s="19" t="n">
        <v>0</v>
      </c>
      <c r="J8" s="23" t="n">
        <f aca="false">IF(C8="Churn",0,F8*(1+H8)+G8)</f>
        <v>30000</v>
      </c>
      <c r="K8" s="23" t="n">
        <f aca="false">J8*(1-I8)</f>
        <v>30000</v>
      </c>
      <c r="L8" s="23" t="n">
        <f aca="false">K8-F8</f>
        <v>-15000</v>
      </c>
      <c r="M8" s="22" t="n">
        <f aca="false">IF(F8=0,"new",L8/F8)</f>
        <v>-0.333333333333333</v>
      </c>
      <c r="N8" s="15" t="str">
        <f aca="false">IF(I8=0,"None",IF(AND(D8&gt;=2,I8&lt;=0.05),"None (multi-year)",IF(I8&lt;=0.12,"Finance","VP Customer Success")))</f>
        <v>None</v>
      </c>
      <c r="O8" s="15" t="str">
        <f aca="false">IF(D8&lt;2,"n/a",IF(E8="Upfront","Locked (0%)","5% a year"))</f>
        <v>n/a</v>
      </c>
      <c r="P8" s="15" t="s">
        <v>189</v>
      </c>
    </row>
    <row r="9" customFormat="false" ht="15" hidden="false" customHeight="false" outlineLevel="0" collapsed="false">
      <c r="A9" s="15" t="s">
        <v>108</v>
      </c>
      <c r="B9" s="15" t="s">
        <v>190</v>
      </c>
      <c r="C9" s="18" t="s">
        <v>181</v>
      </c>
      <c r="D9" s="18" t="n">
        <v>2</v>
      </c>
      <c r="E9" s="18" t="s">
        <v>182</v>
      </c>
      <c r="F9" s="23" t="n">
        <v>36000</v>
      </c>
      <c r="G9" s="16" t="n">
        <v>0</v>
      </c>
      <c r="H9" s="22" t="n">
        <v>0</v>
      </c>
      <c r="I9" s="19" t="n">
        <v>0.1</v>
      </c>
      <c r="J9" s="23" t="n">
        <f aca="false">IF(C9="Churn",0,F9*(1+H9)+G9)</f>
        <v>36000</v>
      </c>
      <c r="K9" s="23" t="n">
        <f aca="false">J9*(1-I9)</f>
        <v>32400</v>
      </c>
      <c r="L9" s="23" t="n">
        <f aca="false">K9-F9</f>
        <v>-3600</v>
      </c>
      <c r="M9" s="22" t="n">
        <f aca="false">IF(F9=0,"new",L9/F9)</f>
        <v>-0.1</v>
      </c>
      <c r="N9" s="15" t="str">
        <f aca="false">IF(I9=0,"None",IF(AND(D9&gt;=2,I9&lt;=0.05),"None (multi-year)",IF(I9&lt;=0.12,"Finance","VP Customer Success")))</f>
        <v>Finance</v>
      </c>
      <c r="O9" s="15" t="str">
        <f aca="false">IF(D9&lt;2,"n/a",IF(E9="Upfront","Locked (0%)","5% a year"))</f>
        <v>5% a year</v>
      </c>
      <c r="P9" s="15" t="s">
        <v>191</v>
      </c>
    </row>
    <row r="10" customFormat="false" ht="15" hidden="false" customHeight="false" outlineLevel="0" collapsed="false">
      <c r="A10" s="15" t="s">
        <v>114</v>
      </c>
      <c r="B10" s="15" t="s">
        <v>187</v>
      </c>
      <c r="C10" s="18" t="s">
        <v>181</v>
      </c>
      <c r="D10" s="18" t="n">
        <v>1</v>
      </c>
      <c r="E10" s="18" t="s">
        <v>182</v>
      </c>
      <c r="F10" s="23" t="n">
        <v>50000</v>
      </c>
      <c r="G10" s="16" t="n">
        <v>0</v>
      </c>
      <c r="H10" s="22" t="n">
        <v>0</v>
      </c>
      <c r="I10" s="19" t="n">
        <v>0</v>
      </c>
      <c r="J10" s="23" t="n">
        <f aca="false">IF(C10="Churn",0,F10*(1+H10)+G10)</f>
        <v>50000</v>
      </c>
      <c r="K10" s="23" t="n">
        <f aca="false">J10*(1-I10)</f>
        <v>50000</v>
      </c>
      <c r="L10" s="23" t="n">
        <f aca="false">K10-F10</f>
        <v>0</v>
      </c>
      <c r="M10" s="22" t="n">
        <f aca="false">IF(F10=0,"new",L10/F10)</f>
        <v>0</v>
      </c>
      <c r="N10" s="15" t="str">
        <f aca="false">IF(I10=0,"None",IF(AND(D10&gt;=2,I10&lt;=0.05),"None (multi-year)",IF(I10&lt;=0.12,"Finance","VP Customer Success")))</f>
        <v>None</v>
      </c>
      <c r="O10" s="15" t="str">
        <f aca="false">IF(D10&lt;2,"n/a",IF(E10="Upfront","Locked (0%)","5% a year"))</f>
        <v>n/a</v>
      </c>
      <c r="P10" s="15"/>
    </row>
    <row r="11" customFormat="false" ht="15" hidden="false" customHeight="false" outlineLevel="0" collapsed="false">
      <c r="A11" s="15" t="s">
        <v>121</v>
      </c>
      <c r="B11" s="15" t="s">
        <v>180</v>
      </c>
      <c r="C11" s="18" t="s">
        <v>181</v>
      </c>
      <c r="D11" s="18" t="n">
        <v>1</v>
      </c>
      <c r="E11" s="18" t="s">
        <v>182</v>
      </c>
      <c r="F11" s="23" t="n">
        <v>28000</v>
      </c>
      <c r="G11" s="16" t="n">
        <v>0</v>
      </c>
      <c r="H11" s="22" t="n">
        <v>0</v>
      </c>
      <c r="I11" s="19" t="n">
        <v>0</v>
      </c>
      <c r="J11" s="23" t="n">
        <f aca="false">IF(C11="Churn",0,F11*(1+H11)+G11)</f>
        <v>28000</v>
      </c>
      <c r="K11" s="23" t="n">
        <f aca="false">J11*(1-I11)</f>
        <v>28000</v>
      </c>
      <c r="L11" s="23" t="n">
        <f aca="false">K11-F11</f>
        <v>0</v>
      </c>
      <c r="M11" s="22" t="n">
        <f aca="false">IF(F11=0,"new",L11/F11)</f>
        <v>0</v>
      </c>
      <c r="N11" s="15" t="str">
        <f aca="false">IF(I11=0,"None",IF(AND(D11&gt;=2,I11&lt;=0.05),"None (multi-year)",IF(I11&lt;=0.12,"Finance","VP Customer Success")))</f>
        <v>None</v>
      </c>
      <c r="O11" s="15" t="str">
        <f aca="false">IF(D11&lt;2,"n/a",IF(E11="Upfront","Locked (0%)","5% a year"))</f>
        <v>n/a</v>
      </c>
      <c r="P11" s="15" t="s">
        <v>192</v>
      </c>
    </row>
    <row r="12" customFormat="false" ht="15" hidden="false" customHeight="false" outlineLevel="0" collapsed="false">
      <c r="A12" s="15" t="s">
        <v>126</v>
      </c>
      <c r="B12" s="15" t="s">
        <v>180</v>
      </c>
      <c r="C12" s="18" t="s">
        <v>181</v>
      </c>
      <c r="D12" s="18" t="n">
        <v>1</v>
      </c>
      <c r="E12" s="18" t="s">
        <v>182</v>
      </c>
      <c r="F12" s="23" t="n">
        <v>35000</v>
      </c>
      <c r="G12" s="16" t="n">
        <v>0</v>
      </c>
      <c r="H12" s="22" t="n">
        <v>0</v>
      </c>
      <c r="I12" s="19" t="n">
        <v>0</v>
      </c>
      <c r="J12" s="23" t="n">
        <f aca="false">IF(C12="Churn",0,F12*(1+H12)+G12)</f>
        <v>35000</v>
      </c>
      <c r="K12" s="23" t="n">
        <f aca="false">J12*(1-I12)</f>
        <v>35000</v>
      </c>
      <c r="L12" s="23" t="n">
        <f aca="false">K12-F12</f>
        <v>0</v>
      </c>
      <c r="M12" s="22" t="n">
        <f aca="false">IF(F12=0,"new",L12/F12)</f>
        <v>0</v>
      </c>
      <c r="N12" s="15" t="str">
        <f aca="false">IF(I12=0,"None",IF(AND(D12&gt;=2,I12&lt;=0.05),"None (multi-year)",IF(I12&lt;=0.12,"Finance","VP Customer Success")))</f>
        <v>None</v>
      </c>
      <c r="O12" s="15" t="str">
        <f aca="false">IF(D12&lt;2,"n/a",IF(E12="Upfront","Locked (0%)","5% a year"))</f>
        <v>n/a</v>
      </c>
      <c r="P12" s="15" t="s">
        <v>193</v>
      </c>
    </row>
    <row r="13" customFormat="false" ht="15" hidden="false" customHeight="false" outlineLevel="0" collapsed="false">
      <c r="A13" s="15" t="s">
        <v>126</v>
      </c>
      <c r="B13" s="15" t="s">
        <v>194</v>
      </c>
      <c r="C13" s="18" t="s">
        <v>195</v>
      </c>
      <c r="D13" s="18" t="n">
        <v>1</v>
      </c>
      <c r="E13" s="18" t="s">
        <v>182</v>
      </c>
      <c r="F13" s="23" t="n">
        <v>0</v>
      </c>
      <c r="G13" s="16" t="n">
        <v>0</v>
      </c>
      <c r="H13" s="22" t="n">
        <v>0</v>
      </c>
      <c r="I13" s="19" t="n">
        <v>0</v>
      </c>
      <c r="J13" s="23" t="n">
        <f aca="false">IF(C13="Churn",0,F13*(1+H13)+G13)</f>
        <v>0</v>
      </c>
      <c r="K13" s="23" t="n">
        <f aca="false">J13*(1-I13)</f>
        <v>0</v>
      </c>
      <c r="L13" s="23" t="n">
        <f aca="false">K13-F13</f>
        <v>0</v>
      </c>
      <c r="M13" s="22" t="str">
        <f aca="false">IF(F13=0,"new",L13/F13)</f>
        <v>new</v>
      </c>
      <c r="N13" s="15" t="str">
        <f aca="false">IF(I13=0,"None",IF(AND(D13&gt;=2,I13&lt;=0.05),"None (multi-year)",IF(I13&lt;=0.12,"Finance","VP Customer Success")))</f>
        <v>None</v>
      </c>
      <c r="O13" s="15" t="str">
        <f aca="false">IF(D13&lt;2,"n/a",IF(E13="Upfront","Locked (0%)","5% a year"))</f>
        <v>n/a</v>
      </c>
      <c r="P13" s="15" t="s">
        <v>196</v>
      </c>
    </row>
    <row r="14" customFormat="false" ht="15" hidden="false" customHeight="false" outlineLevel="0" collapsed="false">
      <c r="A14" s="15" t="s">
        <v>131</v>
      </c>
      <c r="B14" s="15" t="s">
        <v>184</v>
      </c>
      <c r="C14" s="18" t="s">
        <v>181</v>
      </c>
      <c r="D14" s="18" t="n">
        <v>1</v>
      </c>
      <c r="E14" s="18" t="s">
        <v>182</v>
      </c>
      <c r="F14" s="23" t="n">
        <v>46000</v>
      </c>
      <c r="G14" s="16" t="n">
        <v>0</v>
      </c>
      <c r="H14" s="22" t="n">
        <v>0</v>
      </c>
      <c r="I14" s="19" t="n">
        <v>0</v>
      </c>
      <c r="J14" s="23" t="n">
        <f aca="false">IF(C14="Churn",0,F14*(1+H14)+G14)</f>
        <v>46000</v>
      </c>
      <c r="K14" s="23" t="n">
        <f aca="false">J14*(1-I14)</f>
        <v>46000</v>
      </c>
      <c r="L14" s="23" t="n">
        <f aca="false">K14-F14</f>
        <v>0</v>
      </c>
      <c r="M14" s="22" t="n">
        <f aca="false">IF(F14=0,"new",L14/F14)</f>
        <v>0</v>
      </c>
      <c r="N14" s="15" t="str">
        <f aca="false">IF(I14=0,"None",IF(AND(D14&gt;=2,I14&lt;=0.05),"None (multi-year)",IF(I14&lt;=0.12,"Finance","VP Customer Success")))</f>
        <v>None</v>
      </c>
      <c r="O14" s="15" t="str">
        <f aca="false">IF(D14&lt;2,"n/a",IF(E14="Upfront","Locked (0%)","5% a year"))</f>
        <v>n/a</v>
      </c>
      <c r="P14" s="15"/>
    </row>
    <row r="15" customFormat="false" ht="15" hidden="false" customHeight="false" outlineLevel="0" collapsed="false">
      <c r="A15" s="15" t="s">
        <v>136</v>
      </c>
      <c r="B15" s="15" t="s">
        <v>184</v>
      </c>
      <c r="C15" s="18" t="s">
        <v>188</v>
      </c>
      <c r="D15" s="18" t="n">
        <v>1</v>
      </c>
      <c r="E15" s="18" t="s">
        <v>182</v>
      </c>
      <c r="F15" s="23" t="n">
        <v>40000</v>
      </c>
      <c r="G15" s="16" t="n">
        <v>-8000</v>
      </c>
      <c r="H15" s="22" t="n">
        <v>0</v>
      </c>
      <c r="I15" s="19" t="n">
        <v>0</v>
      </c>
      <c r="J15" s="23" t="n">
        <f aca="false">IF(C15="Churn",0,F15*(1+H15)+G15)</f>
        <v>32000</v>
      </c>
      <c r="K15" s="23" t="n">
        <f aca="false">J15*(1-I15)</f>
        <v>32000</v>
      </c>
      <c r="L15" s="23" t="n">
        <f aca="false">K15-F15</f>
        <v>-8000</v>
      </c>
      <c r="M15" s="22" t="n">
        <f aca="false">IF(F15=0,"new",L15/F15)</f>
        <v>-0.2</v>
      </c>
      <c r="N15" s="15" t="str">
        <f aca="false">IF(I15=0,"None",IF(AND(D15&gt;=2,I15&lt;=0.05),"None (multi-year)",IF(I15&lt;=0.12,"Finance","VP Customer Success")))</f>
        <v>None</v>
      </c>
      <c r="O15" s="15" t="str">
        <f aca="false">IF(D15&lt;2,"n/a",IF(E15="Upfront","Locked (0%)","5% a year"))</f>
        <v>n/a</v>
      </c>
      <c r="P15" s="15" t="s">
        <v>197</v>
      </c>
    </row>
    <row r="17" customFormat="false" ht="15" hidden="false" customHeight="false" outlineLevel="0" collapsed="false">
      <c r="A17" s="2" t="s">
        <v>142</v>
      </c>
      <c r="F17" s="26" t="n">
        <f aca="false">SUM(F5:F15)</f>
        <v>375000</v>
      </c>
      <c r="G17" s="26" t="n">
        <f aca="false">SUM(G5:G15)</f>
        <v>-23000</v>
      </c>
      <c r="J17" s="26" t="n">
        <f aca="false">SUM(J5:J15)</f>
        <v>352000</v>
      </c>
      <c r="K17" s="26" t="n">
        <f aca="false">SUM(K5:K15)</f>
        <v>348400</v>
      </c>
      <c r="L17" s="26" t="n">
        <f aca="false">SUM(L5:L15)</f>
        <v>-26600</v>
      </c>
    </row>
    <row r="19" customFormat="false" ht="15" hidden="false" customHeight="false" outlineLevel="0" collapsed="false">
      <c r="A19" s="2" t="s">
        <v>198</v>
      </c>
    </row>
    <row r="20" customFormat="false" ht="33.75" hidden="false" customHeight="true" outlineLevel="0" collapsed="false">
      <c r="A20" s="35" t="s">
        <v>199</v>
      </c>
      <c r="B20" s="35"/>
      <c r="C20" s="35"/>
      <c r="D20" s="35"/>
      <c r="E20" s="35"/>
      <c r="F20" s="35"/>
      <c r="G20" s="35"/>
      <c r="H20" s="35"/>
      <c r="I20" s="35"/>
      <c r="J20" s="35"/>
      <c r="K20" s="35"/>
      <c r="L20" s="35"/>
      <c r="M20" s="35"/>
      <c r="N20" s="35"/>
      <c r="O20" s="35"/>
      <c r="P20" s="35"/>
    </row>
  </sheetData>
  <mergeCells count="2">
    <mergeCell ref="A2:N2"/>
    <mergeCell ref="A20:P20"/>
  </mergeCells>
  <conditionalFormatting sqref="L5:M55">
    <cfRule type="expression" priority="2" aboveAverage="0" equalAverage="0" bottom="0" percent="0" rank="0" text="" dxfId="4">
      <formula>AND(ISNUMBER(L5),L5&gt;0)</formula>
    </cfRule>
    <cfRule type="expression" priority="3" aboveAverage="0" equalAverage="0" bottom="0" percent="0" rank="0" text="" dxfId="0">
      <formula>AND(ISNUMBER(L5),L5&lt;0)</formula>
    </cfRule>
  </conditionalFormatting>
  <conditionalFormatting sqref="N5:N55">
    <cfRule type="expression" priority="4" aboveAverage="0" equalAverage="0" bottom="0" percent="0" rank="0" text="" dxfId="2">
      <formula>LEFT(N5,4)&lt;&gt;"None"</formula>
    </cfRule>
  </conditionalFormatting>
  <dataValidations count="2">
    <dataValidation allowBlank="false" errorStyle="stop" operator="between" showDropDown="false" showErrorMessage="false" showInputMessage="false" sqref="C5:C55" type="list">
      <formula1>"Renewal,Upsell,Downgrade,Churn"</formula1>
      <formula2>0</formula2>
    </dataValidation>
    <dataValidation allowBlank="false" errorStyle="stop" operator="between" showDropDown="false" showErrorMessage="false" showInputMessage="false" sqref="E5:E55" type="list">
      <formula1>"Annual,Upfront"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4"/>
    <col collapsed="false" customWidth="true" hidden="false" outlineLevel="0" max="3" min="3" style="0" width="12"/>
    <col collapsed="false" customWidth="true" hidden="false" outlineLevel="0" max="4" min="4" style="0" width="16"/>
    <col collapsed="false" customWidth="true" hidden="false" outlineLevel="0" max="5" min="5" style="0" width="14"/>
    <col collapsed="false" customWidth="true" hidden="false" outlineLevel="0" max="6" min="6" style="0" width="16"/>
    <col collapsed="false" customWidth="true" hidden="false" outlineLevel="0" max="7" min="7" style="0" width="34"/>
    <col collapsed="false" customWidth="true" hidden="false" outlineLevel="0" max="8" min="8" style="0" width="16"/>
    <col collapsed="false" customWidth="true" hidden="false" outlineLevel="0" max="10" min="9" style="0" width="13"/>
    <col collapsed="false" customWidth="true" hidden="false" outlineLevel="0" max="11" min="11" style="0" width="11"/>
  </cols>
  <sheetData>
    <row r="1" customFormat="false" ht="16.15" hidden="false" customHeight="false" outlineLevel="0" collapsed="false">
      <c r="A1" s="4" t="s">
        <v>200</v>
      </c>
    </row>
    <row r="3" customFormat="false" ht="31.5" hidden="false" customHeight="true" outlineLevel="0" collapsed="false">
      <c r="A3" s="6" t="s">
        <v>165</v>
      </c>
      <c r="B3" s="6" t="s">
        <v>170</v>
      </c>
      <c r="C3" s="6" t="s">
        <v>201</v>
      </c>
      <c r="D3" s="6" t="s">
        <v>202</v>
      </c>
      <c r="E3" s="6" t="s">
        <v>203</v>
      </c>
      <c r="F3" s="6" t="s">
        <v>204</v>
      </c>
      <c r="G3" s="6" t="s">
        <v>205</v>
      </c>
      <c r="H3" s="6" t="s">
        <v>206</v>
      </c>
      <c r="I3" s="6" t="s">
        <v>61</v>
      </c>
      <c r="J3" s="6" t="s">
        <v>207</v>
      </c>
      <c r="K3" s="6" t="s">
        <v>208</v>
      </c>
    </row>
    <row r="4" customFormat="false" ht="15" hidden="false" customHeight="false" outlineLevel="0" collapsed="false">
      <c r="A4" s="36" t="str">
        <f aca="false">Pipeline!A5</f>
        <v>Vantage Freight</v>
      </c>
      <c r="B4" s="23" t="n">
        <f aca="false">SUMIFS(Products!$F:$F,Products!$A:$A,$A4)</f>
        <v>21000</v>
      </c>
      <c r="C4" s="23" t="n">
        <f aca="false">SUMPRODUCT((Products!$A$5:$A$200=$A4)*Products!$F$5:$F$200*Products!$H$5:$H$200)</f>
        <v>0</v>
      </c>
      <c r="D4" s="23" t="n">
        <f aca="false">SUMIFS(Products!$G:$G,Products!$A:$A,$A4,Products!$C:$C,"Upsell")</f>
        <v>0</v>
      </c>
      <c r="E4" s="23" t="n">
        <f aca="false">SUMIFS(Products!$G:$G,Products!$A:$A,$A4,Products!$C:$C,"Downgrade")-SUMIFS(Products!$F:$F,Products!$A:$A,$A4,Products!$C:$C,"Churn")</f>
        <v>0</v>
      </c>
      <c r="F4" s="18"/>
      <c r="G4" s="18"/>
      <c r="H4" s="23" t="n">
        <f aca="false">MIN(0,C4-(SUMIFS(Products!$J:$J,Products!$A:$A,$A4)-SUMIFS(Products!$K:$K,Products!$A:$A,$A4)))</f>
        <v>0</v>
      </c>
      <c r="I4" s="23" t="n">
        <f aca="false">SUMIFS(Products!$K:$K,Products!$A:$A,$A4)</f>
        <v>21000</v>
      </c>
      <c r="J4" s="23" t="n">
        <f aca="false">I4-B4</f>
        <v>0</v>
      </c>
      <c r="K4" s="22" t="n">
        <f aca="false">IF(B4=0,0,J4/B4)</f>
        <v>0</v>
      </c>
    </row>
    <row r="5" customFormat="false" ht="15" hidden="false" customHeight="false" outlineLevel="0" collapsed="false">
      <c r="A5" s="36" t="str">
        <f aca="false">Pipeline!A6</f>
        <v>Northwind Logistics</v>
      </c>
      <c r="B5" s="23" t="n">
        <f aca="false">SUMIFS(Products!$F:$F,Products!$A:$A,$A5)</f>
        <v>48000</v>
      </c>
      <c r="C5" s="23" t="n">
        <f aca="false">SUMPRODUCT((Products!$A$5:$A$200=$A5)*Products!$F$5:$F$200*Products!$H$5:$H$200)</f>
        <v>0</v>
      </c>
      <c r="D5" s="23" t="n">
        <f aca="false">SUMIFS(Products!$G:$G,Products!$A:$A,$A5,Products!$C:$C,"Upsell")</f>
        <v>0</v>
      </c>
      <c r="E5" s="23" t="n">
        <f aca="false">SUMIFS(Products!$G:$G,Products!$A:$A,$A5,Products!$C:$C,"Downgrade")-SUMIFS(Products!$F:$F,Products!$A:$A,$A5,Products!$C:$C,"Churn")</f>
        <v>0</v>
      </c>
      <c r="F5" s="18"/>
      <c r="G5" s="18"/>
      <c r="H5" s="23" t="n">
        <f aca="false">MIN(0,C5-(SUMIFS(Products!$J:$J,Products!$A:$A,$A5)-SUMIFS(Products!$K:$K,Products!$A:$A,$A5)))</f>
        <v>0</v>
      </c>
      <c r="I5" s="23" t="n">
        <f aca="false">SUMIFS(Products!$K:$K,Products!$A:$A,$A5)</f>
        <v>48000</v>
      </c>
      <c r="J5" s="23" t="n">
        <f aca="false">I5-B5</f>
        <v>0</v>
      </c>
      <c r="K5" s="22" t="n">
        <f aca="false">IF(B5=0,0,J5/B5)</f>
        <v>0</v>
      </c>
    </row>
    <row r="6" customFormat="false" ht="15" hidden="false" customHeight="false" outlineLevel="0" collapsed="false">
      <c r="A6" s="36" t="str">
        <f aca="false">Pipeline!A7</f>
        <v>Pixelforge</v>
      </c>
      <c r="B6" s="23" t="n">
        <f aca="false">SUMIFS(Products!$F:$F,Products!$A:$A,$A6)</f>
        <v>26000</v>
      </c>
      <c r="C6" s="23" t="n">
        <f aca="false">SUMPRODUCT((Products!$A$5:$A$200=$A6)*Products!$F$5:$F$200*Products!$H$5:$H$200)</f>
        <v>0</v>
      </c>
      <c r="D6" s="23" t="n">
        <f aca="false">SUMIFS(Products!$G:$G,Products!$A:$A,$A6,Products!$C:$C,"Upsell")</f>
        <v>0</v>
      </c>
      <c r="E6" s="23" t="n">
        <f aca="false">SUMIFS(Products!$G:$G,Products!$A:$A,$A6,Products!$C:$C,"Downgrade")-SUMIFS(Products!$F:$F,Products!$A:$A,$A6,Products!$C:$C,"Churn")</f>
        <v>0</v>
      </c>
      <c r="F6" s="18"/>
      <c r="G6" s="18"/>
      <c r="H6" s="23" t="n">
        <f aca="false">MIN(0,C6-(SUMIFS(Products!$J:$J,Products!$A:$A,$A6)-SUMIFS(Products!$K:$K,Products!$A:$A,$A6)))</f>
        <v>0</v>
      </c>
      <c r="I6" s="23" t="n">
        <f aca="false">SUMIFS(Products!$K:$K,Products!$A:$A,$A6)</f>
        <v>26000</v>
      </c>
      <c r="J6" s="23" t="n">
        <f aca="false">I6-B6</f>
        <v>0</v>
      </c>
      <c r="K6" s="22" t="n">
        <f aca="false">IF(B6=0,0,J6/B6)</f>
        <v>0</v>
      </c>
    </row>
    <row r="7" customFormat="false" ht="15" hidden="false" customHeight="false" outlineLevel="0" collapsed="false">
      <c r="A7" s="36" t="str">
        <f aca="false">Pipeline!A8</f>
        <v>Halden Health</v>
      </c>
      <c r="B7" s="23" t="n">
        <f aca="false">SUMIFS(Products!$F:$F,Products!$A:$A,$A7)</f>
        <v>45000</v>
      </c>
      <c r="C7" s="23" t="n">
        <f aca="false">SUMPRODUCT((Products!$A$5:$A$200=$A7)*Products!$F$5:$F$200*Products!$H$5:$H$200)</f>
        <v>0</v>
      </c>
      <c r="D7" s="23" t="n">
        <f aca="false">SUMIFS(Products!$G:$G,Products!$A:$A,$A7,Products!$C:$C,"Upsell")</f>
        <v>0</v>
      </c>
      <c r="E7" s="23" t="n">
        <f aca="false">SUMIFS(Products!$G:$G,Products!$A:$A,$A7,Products!$C:$C,"Downgrade")-SUMIFS(Products!$F:$F,Products!$A:$A,$A7,Products!$C:$C,"Churn")</f>
        <v>-15000</v>
      </c>
      <c r="F7" s="18" t="s">
        <v>209</v>
      </c>
      <c r="G7" s="18" t="s">
        <v>210</v>
      </c>
      <c r="H7" s="23" t="n">
        <f aca="false">MIN(0,C7-(SUMIFS(Products!$J:$J,Products!$A:$A,$A7)-SUMIFS(Products!$K:$K,Products!$A:$A,$A7)))</f>
        <v>0</v>
      </c>
      <c r="I7" s="23" t="n">
        <f aca="false">SUMIFS(Products!$K:$K,Products!$A:$A,$A7)</f>
        <v>30000</v>
      </c>
      <c r="J7" s="23" t="n">
        <f aca="false">I7-B7</f>
        <v>-15000</v>
      </c>
      <c r="K7" s="22" t="n">
        <f aca="false">IF(B7=0,0,J7/B7)</f>
        <v>-0.333333333333333</v>
      </c>
    </row>
    <row r="8" customFormat="false" ht="15" hidden="false" customHeight="false" outlineLevel="0" collapsed="false">
      <c r="A8" s="36" t="str">
        <f aca="false">Pipeline!A9</f>
        <v>Brightloop</v>
      </c>
      <c r="B8" s="23" t="n">
        <f aca="false">SUMIFS(Products!$F:$F,Products!$A:$A,$A8)</f>
        <v>36000</v>
      </c>
      <c r="C8" s="23" t="n">
        <f aca="false">SUMPRODUCT((Products!$A$5:$A$200=$A8)*Products!$F$5:$F$200*Products!$H$5:$H$200)</f>
        <v>0</v>
      </c>
      <c r="D8" s="23" t="n">
        <f aca="false">SUMIFS(Products!$G:$G,Products!$A:$A,$A8,Products!$C:$C,"Upsell")</f>
        <v>0</v>
      </c>
      <c r="E8" s="23" t="n">
        <f aca="false">SUMIFS(Products!$G:$G,Products!$A:$A,$A8,Products!$C:$C,"Downgrade")-SUMIFS(Products!$F:$F,Products!$A:$A,$A8,Products!$C:$C,"Churn")</f>
        <v>0</v>
      </c>
      <c r="F8" s="18"/>
      <c r="G8" s="18"/>
      <c r="H8" s="23" t="n">
        <f aca="false">MIN(0,C8-(SUMIFS(Products!$J:$J,Products!$A:$A,$A8)-SUMIFS(Products!$K:$K,Products!$A:$A,$A8)))</f>
        <v>-3600</v>
      </c>
      <c r="I8" s="23" t="n">
        <f aca="false">SUMIFS(Products!$K:$K,Products!$A:$A,$A8)</f>
        <v>32400</v>
      </c>
      <c r="J8" s="23" t="n">
        <f aca="false">I8-B8</f>
        <v>-3600</v>
      </c>
      <c r="K8" s="22" t="n">
        <f aca="false">IF(B8=0,0,J8/B8)</f>
        <v>-0.1</v>
      </c>
    </row>
    <row r="9" customFormat="false" ht="15" hidden="false" customHeight="false" outlineLevel="0" collapsed="false">
      <c r="A9" s="36" t="str">
        <f aca="false">Pipeline!A10</f>
        <v>Tessera Finance</v>
      </c>
      <c r="B9" s="23" t="n">
        <f aca="false">SUMIFS(Products!$F:$F,Products!$A:$A,$A9)</f>
        <v>50000</v>
      </c>
      <c r="C9" s="23" t="n">
        <f aca="false">SUMPRODUCT((Products!$A$5:$A$200=$A9)*Products!$F$5:$F$200*Products!$H$5:$H$200)</f>
        <v>0</v>
      </c>
      <c r="D9" s="23" t="n">
        <f aca="false">SUMIFS(Products!$G:$G,Products!$A:$A,$A9,Products!$C:$C,"Upsell")</f>
        <v>0</v>
      </c>
      <c r="E9" s="23" t="n">
        <f aca="false">SUMIFS(Products!$G:$G,Products!$A:$A,$A9,Products!$C:$C,"Downgrade")-SUMIFS(Products!$F:$F,Products!$A:$A,$A9,Products!$C:$C,"Churn")</f>
        <v>0</v>
      </c>
      <c r="F9" s="18"/>
      <c r="G9" s="18"/>
      <c r="H9" s="23" t="n">
        <f aca="false">MIN(0,C9-(SUMIFS(Products!$J:$J,Products!$A:$A,$A9)-SUMIFS(Products!$K:$K,Products!$A:$A,$A9)))</f>
        <v>0</v>
      </c>
      <c r="I9" s="23" t="n">
        <f aca="false">SUMIFS(Products!$K:$K,Products!$A:$A,$A9)</f>
        <v>50000</v>
      </c>
      <c r="J9" s="23" t="n">
        <f aca="false">I9-B9</f>
        <v>0</v>
      </c>
      <c r="K9" s="22" t="n">
        <f aca="false">IF(B9=0,0,J9/B9)</f>
        <v>0</v>
      </c>
    </row>
    <row r="10" customFormat="false" ht="15" hidden="false" customHeight="false" outlineLevel="0" collapsed="false">
      <c r="A10" s="36" t="str">
        <f aca="false">Pipeline!A11</f>
        <v>Lumen Retail</v>
      </c>
      <c r="B10" s="23" t="n">
        <f aca="false">SUMIFS(Products!$F:$F,Products!$A:$A,$A10)</f>
        <v>28000</v>
      </c>
      <c r="C10" s="23" t="n">
        <f aca="false">SUMPRODUCT((Products!$A$5:$A$200=$A10)*Products!$F$5:$F$200*Products!$H$5:$H$200)</f>
        <v>0</v>
      </c>
      <c r="D10" s="23" t="n">
        <f aca="false">SUMIFS(Products!$G:$G,Products!$A:$A,$A10,Products!$C:$C,"Upsell")</f>
        <v>0</v>
      </c>
      <c r="E10" s="23" t="n">
        <f aca="false">SUMIFS(Products!$G:$G,Products!$A:$A,$A10,Products!$C:$C,"Downgrade")-SUMIFS(Products!$F:$F,Products!$A:$A,$A10,Products!$C:$C,"Churn")</f>
        <v>0</v>
      </c>
      <c r="F10" s="18"/>
      <c r="G10" s="18"/>
      <c r="H10" s="23" t="n">
        <f aca="false">MIN(0,C10-(SUMIFS(Products!$J:$J,Products!$A:$A,$A10)-SUMIFS(Products!$K:$K,Products!$A:$A,$A10)))</f>
        <v>0</v>
      </c>
      <c r="I10" s="23" t="n">
        <f aca="false">SUMIFS(Products!$K:$K,Products!$A:$A,$A10)</f>
        <v>28000</v>
      </c>
      <c r="J10" s="23" t="n">
        <f aca="false">I10-B10</f>
        <v>0</v>
      </c>
      <c r="K10" s="22" t="n">
        <f aca="false">IF(B10=0,0,J10/B10)</f>
        <v>0</v>
      </c>
    </row>
    <row r="11" customFormat="false" ht="15" hidden="false" customHeight="false" outlineLevel="0" collapsed="false">
      <c r="A11" s="36" t="str">
        <f aca="false">Pipeline!A12</f>
        <v>Kestrel Analytics</v>
      </c>
      <c r="B11" s="23" t="n">
        <f aca="false">SUMIFS(Products!$F:$F,Products!$A:$A,$A11)</f>
        <v>35000</v>
      </c>
      <c r="C11" s="23" t="n">
        <f aca="false">SUMPRODUCT((Products!$A$5:$A$200=$A11)*Products!$F$5:$F$200*Products!$H$5:$H$200)</f>
        <v>0</v>
      </c>
      <c r="D11" s="23" t="n">
        <f aca="false">SUMIFS(Products!$G:$G,Products!$A:$A,$A11,Products!$C:$C,"Upsell")</f>
        <v>0</v>
      </c>
      <c r="E11" s="23" t="n">
        <f aca="false">SUMIFS(Products!$G:$G,Products!$A:$A,$A11,Products!$C:$C,"Downgrade")-SUMIFS(Products!$F:$F,Products!$A:$A,$A11,Products!$C:$C,"Churn")</f>
        <v>0</v>
      </c>
      <c r="F11" s="18"/>
      <c r="G11" s="18"/>
      <c r="H11" s="23" t="n">
        <f aca="false">MIN(0,C11-(SUMIFS(Products!$J:$J,Products!$A:$A,$A11)-SUMIFS(Products!$K:$K,Products!$A:$A,$A11)))</f>
        <v>0</v>
      </c>
      <c r="I11" s="23" t="n">
        <f aca="false">SUMIFS(Products!$K:$K,Products!$A:$A,$A11)</f>
        <v>35000</v>
      </c>
      <c r="J11" s="23" t="n">
        <f aca="false">I11-B11</f>
        <v>0</v>
      </c>
      <c r="K11" s="22" t="n">
        <f aca="false">IF(B11=0,0,J11/B11)</f>
        <v>0</v>
      </c>
    </row>
    <row r="12" customFormat="false" ht="15" hidden="false" customHeight="false" outlineLevel="0" collapsed="false">
      <c r="A12" s="36" t="str">
        <f aca="false">Pipeline!A13</f>
        <v>Marlowe Insurance</v>
      </c>
      <c r="B12" s="23" t="n">
        <f aca="false">SUMIFS(Products!$F:$F,Products!$A:$A,$A12)</f>
        <v>46000</v>
      </c>
      <c r="C12" s="23" t="n">
        <f aca="false">SUMPRODUCT((Products!$A$5:$A$200=$A12)*Products!$F$5:$F$200*Products!$H$5:$H$200)</f>
        <v>0</v>
      </c>
      <c r="D12" s="23" t="n">
        <f aca="false">SUMIFS(Products!$G:$G,Products!$A:$A,$A12,Products!$C:$C,"Upsell")</f>
        <v>0</v>
      </c>
      <c r="E12" s="23" t="n">
        <f aca="false">SUMIFS(Products!$G:$G,Products!$A:$A,$A12,Products!$C:$C,"Downgrade")-SUMIFS(Products!$F:$F,Products!$A:$A,$A12,Products!$C:$C,"Churn")</f>
        <v>0</v>
      </c>
      <c r="F12" s="18"/>
      <c r="G12" s="18"/>
      <c r="H12" s="23" t="n">
        <f aca="false">MIN(0,C12-(SUMIFS(Products!$J:$J,Products!$A:$A,$A12)-SUMIFS(Products!$K:$K,Products!$A:$A,$A12)))</f>
        <v>0</v>
      </c>
      <c r="I12" s="23" t="n">
        <f aca="false">SUMIFS(Products!$K:$K,Products!$A:$A,$A12)</f>
        <v>46000</v>
      </c>
      <c r="J12" s="23" t="n">
        <f aca="false">I12-B12</f>
        <v>0</v>
      </c>
      <c r="K12" s="22" t="n">
        <f aca="false">IF(B12=0,0,J12/B12)</f>
        <v>0</v>
      </c>
    </row>
    <row r="13" customFormat="false" ht="15" hidden="false" customHeight="false" outlineLevel="0" collapsed="false">
      <c r="A13" s="36" t="str">
        <f aca="false">Pipeline!A14</f>
        <v>Quanta Labs</v>
      </c>
      <c r="B13" s="23" t="n">
        <f aca="false">SUMIFS(Products!$F:$F,Products!$A:$A,$A13)</f>
        <v>40000</v>
      </c>
      <c r="C13" s="23" t="n">
        <f aca="false">SUMPRODUCT((Products!$A$5:$A$200=$A13)*Products!$F$5:$F$200*Products!$H$5:$H$200)</f>
        <v>0</v>
      </c>
      <c r="D13" s="23" t="n">
        <f aca="false">SUMIFS(Products!$G:$G,Products!$A:$A,$A13,Products!$C:$C,"Upsell")</f>
        <v>0</v>
      </c>
      <c r="E13" s="23" t="n">
        <f aca="false">SUMIFS(Products!$G:$G,Products!$A:$A,$A13,Products!$C:$C,"Downgrade")-SUMIFS(Products!$F:$F,Products!$A:$A,$A13,Products!$C:$C,"Churn")</f>
        <v>-8000</v>
      </c>
      <c r="F13" s="18" t="s">
        <v>209</v>
      </c>
      <c r="G13" s="18" t="s">
        <v>211</v>
      </c>
      <c r="H13" s="23" t="n">
        <f aca="false">MIN(0,C13-(SUMIFS(Products!$J:$J,Products!$A:$A,$A13)-SUMIFS(Products!$K:$K,Products!$A:$A,$A13)))</f>
        <v>0</v>
      </c>
      <c r="I13" s="23" t="n">
        <f aca="false">SUMIFS(Products!$K:$K,Products!$A:$A,$A13)</f>
        <v>32000</v>
      </c>
      <c r="J13" s="23" t="n">
        <f aca="false">I13-B13</f>
        <v>-8000</v>
      </c>
      <c r="K13" s="22" t="n">
        <f aca="false">IF(B13=0,0,J13/B13)</f>
        <v>-0.2</v>
      </c>
    </row>
    <row r="14" customFormat="false" ht="15" hidden="false" customHeight="false" outlineLevel="0" collapsed="false">
      <c r="A14" s="2" t="s">
        <v>142</v>
      </c>
      <c r="B14" s="26" t="n">
        <f aca="false">SUM(B4:B13)</f>
        <v>375000</v>
      </c>
      <c r="C14" s="26" t="n">
        <f aca="false">SUM(C4:C13)</f>
        <v>0</v>
      </c>
      <c r="D14" s="26" t="n">
        <f aca="false">SUM(D4:D13)</f>
        <v>0</v>
      </c>
      <c r="E14" s="26" t="n">
        <f aca="false">SUM(E4:E13)</f>
        <v>-23000</v>
      </c>
      <c r="H14" s="26" t="n">
        <f aca="false">SUM(H4:H13)</f>
        <v>-3600</v>
      </c>
      <c r="I14" s="26" t="n">
        <f aca="false">SUM(I4:I13)</f>
        <v>348400</v>
      </c>
      <c r="J14" s="26" t="n">
        <f aca="false">SUM(J4:J13)</f>
        <v>-26600</v>
      </c>
      <c r="K14" s="37" t="n">
        <f aca="false">IF(B14=0,0,J14/B14)</f>
        <v>-0.0709333333333333</v>
      </c>
    </row>
    <row r="15" customFormat="false" ht="15" hidden="false" customHeight="false" outlineLevel="0" collapsed="false">
      <c r="A15" s="38" t="s">
        <v>212</v>
      </c>
      <c r="E15" s="39" t="n">
        <f aca="false">SUMIFS(E4:E13,F4:F13,"Regrettable")</f>
        <v>-23000</v>
      </c>
      <c r="F15" s="39" t="n">
        <f aca="false">SUMIFS(E4:E13,F4:F13,"Non-regrettable")</f>
        <v>0</v>
      </c>
      <c r="H15" s="39" t="n">
        <f aca="false">H14</f>
        <v>-3600</v>
      </c>
    </row>
    <row r="16" customFormat="false" ht="43.5" hidden="false" customHeight="true" outlineLevel="0" collapsed="false">
      <c r="A16" s="2" t="s">
        <v>213</v>
      </c>
      <c r="B16" s="35" t="s">
        <v>214</v>
      </c>
      <c r="C16" s="35"/>
      <c r="D16" s="35"/>
      <c r="E16" s="35"/>
      <c r="F16" s="35"/>
      <c r="G16" s="35"/>
      <c r="H16" s="35"/>
      <c r="I16" s="35"/>
      <c r="J16" s="35"/>
      <c r="K16" s="35"/>
    </row>
    <row r="17" customFormat="false" ht="15" hidden="false" customHeight="false" outlineLevel="0" collapsed="false">
      <c r="A17" s="2" t="s">
        <v>215</v>
      </c>
      <c r="B17" s="12" t="str">
        <f aca="false">COUNTIFS(E4:E13,"&lt;0",F4:F13,"")&amp;" opportunities with churn but no category"</f>
        <v>0 opportunities with churn but no category</v>
      </c>
    </row>
    <row r="18" customFormat="false" ht="15" hidden="false" customHeight="false" outlineLevel="0" collapsed="false">
      <c r="A18" s="12" t="s">
        <v>216</v>
      </c>
      <c r="B18" s="12" t="str">
        <f aca="false">IF(ABS(I14-Pipeline!S15)&lt;1,"OK","MISMATCH")</f>
        <v>OK</v>
      </c>
    </row>
  </sheetData>
  <mergeCells count="1">
    <mergeCell ref="B16:K16"/>
  </mergeCells>
  <conditionalFormatting sqref="J4:K14">
    <cfRule type="cellIs" priority="2" operator="greaterThan" aboveAverage="0" equalAverage="0" bottom="0" percent="0" rank="0" text="" dxfId="4">
      <formula>0</formula>
    </cfRule>
    <cfRule type="cellIs" priority="3" operator="lessThan" aboveAverage="0" equalAverage="0" bottom="0" percent="0" rank="0" text="" dxfId="0">
      <formula>0</formula>
    </cfRule>
  </conditionalFormatting>
  <conditionalFormatting sqref="E4:E14">
    <cfRule type="cellIs" priority="4" operator="lessThan" aboveAverage="0" equalAverage="0" bottom="0" percent="0" rank="0" text="" dxfId="1">
      <formula>0</formula>
    </cfRule>
  </conditionalFormatting>
  <conditionalFormatting sqref="F4:F13">
    <cfRule type="expression" priority="5" aboveAverage="0" equalAverage="0" bottom="0" percent="0" rank="0" text="" dxfId="1">
      <formula>AND(E4&lt;0,F4="")</formula>
    </cfRule>
  </conditionalFormatting>
  <dataValidations count="1">
    <dataValidation allowBlank="false" errorStyle="stop" operator="between" showDropDown="false" showErrorMessage="false" showInputMessage="false" sqref="F4:F13" type="list">
      <formula1>"Regrettable,Non-regrettable"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1"/>
    <col collapsed="false" customWidth="true" hidden="false" outlineLevel="0" max="6" min="4" style="0" width="13"/>
    <col collapsed="false" customWidth="true" hidden="false" outlineLevel="0" max="7" min="7" style="0" width="16"/>
    <col collapsed="false" customWidth="true" hidden="false" outlineLevel="0" max="8" min="8" style="0" width="15"/>
    <col collapsed="false" customWidth="true" hidden="false" outlineLevel="0" max="9" min="9" style="0" width="14"/>
    <col collapsed="false" customWidth="true" hidden="false" outlineLevel="0" max="10" min="10" style="0" width="16"/>
  </cols>
  <sheetData>
    <row r="1" customFormat="false" ht="16.15" hidden="false" customHeight="false" outlineLevel="0" collapsed="false">
      <c r="A1" s="4" t="s">
        <v>217</v>
      </c>
    </row>
    <row r="3" customFormat="false" ht="31.5" hidden="false" customHeight="true" outlineLevel="0" collapsed="false">
      <c r="A3" s="6" t="s">
        <v>57</v>
      </c>
      <c r="B3" s="6" t="s">
        <v>56</v>
      </c>
      <c r="C3" s="6" t="s">
        <v>218</v>
      </c>
      <c r="D3" s="6" t="s">
        <v>47</v>
      </c>
      <c r="E3" s="6" t="s">
        <v>61</v>
      </c>
      <c r="F3" s="6" t="s">
        <v>219</v>
      </c>
      <c r="G3" s="6" t="s">
        <v>220</v>
      </c>
      <c r="H3" s="6" t="s">
        <v>221</v>
      </c>
      <c r="I3" s="6" t="s">
        <v>222</v>
      </c>
      <c r="J3" s="6" t="s">
        <v>223</v>
      </c>
    </row>
    <row r="4" customFormat="false" ht="15" hidden="false" customHeight="false" outlineLevel="0" collapsed="false">
      <c r="A4" s="15" t="s">
        <v>224</v>
      </c>
      <c r="B4" s="15" t="s">
        <v>225</v>
      </c>
      <c r="C4" s="15" t="n">
        <f aca="false">COUNTIFS(Pipeline!$M$5:$M$14,B4)</f>
        <v>2</v>
      </c>
      <c r="D4" s="23" t="n">
        <f aca="false">SUMIFS(Pipeline!$B$5:$B$14,Pipeline!$M$5:$M$14,B4)</f>
        <v>69000</v>
      </c>
      <c r="E4" s="23" t="n">
        <f aca="false">SUMIFS(Pipeline!$S$5:$S$14,Pipeline!$M$5:$M$14,B4)</f>
        <v>69000</v>
      </c>
      <c r="F4" s="23" t="n">
        <f aca="false">SUMIFS(Pipeline!$T$5:$T$14,Pipeline!$M$5:$M$14,B4)</f>
        <v>22500</v>
      </c>
      <c r="G4" s="23" t="n">
        <f aca="false">SUMIFS(Pipeline!$T$5:$T$14,Pipeline!$M$5:$M$14,B4,Pipeline!$U$5:$U$14,"On time")</f>
        <v>0</v>
      </c>
      <c r="H4" s="23" t="n">
        <f aca="false">SUMIFS(Pipeline!$T$5:$T$14,Pipeline!$M$5:$M$14,B4,Pipeline!$U$5:$U$14,"Late")</f>
        <v>22500</v>
      </c>
      <c r="I4" s="23" t="n">
        <f aca="false">SUMIFS(Pipeline!$B$5:$B$14,Pipeline!$M$5:$M$14,B4,Pipeline!$L$5:$L$14,"YES")</f>
        <v>21000</v>
      </c>
      <c r="J4" s="23" t="n">
        <f aca="false">SUMPRODUCT((TEXT(Pipeline!$C$5:$C$14,"yyyy-mm")=B4)*('Opp summary'!$F$4:$F$13="Regrettable")*'Opp summary'!$E$4:$E$13)</f>
        <v>0</v>
      </c>
    </row>
    <row r="5" customFormat="false" ht="15" hidden="false" customHeight="false" outlineLevel="0" collapsed="false">
      <c r="A5" s="15" t="s">
        <v>224</v>
      </c>
      <c r="B5" s="15" t="s">
        <v>226</v>
      </c>
      <c r="C5" s="15" t="n">
        <f aca="false">COUNTIFS(Pipeline!$M$5:$M$14,B5)</f>
        <v>5</v>
      </c>
      <c r="D5" s="23" t="n">
        <f aca="false">SUMIFS(Pipeline!$B$5:$B$14,Pipeline!$M$5:$M$14,B5)</f>
        <v>184000</v>
      </c>
      <c r="E5" s="23" t="n">
        <f aca="false">SUMIFS(Pipeline!$S$5:$S$14,Pipeline!$M$5:$M$14,B5)</f>
        <v>169000</v>
      </c>
      <c r="F5" s="23" t="n">
        <f aca="false">SUMIFS(Pipeline!$T$5:$T$14,Pipeline!$M$5:$M$14,B5)</f>
        <v>65200</v>
      </c>
      <c r="G5" s="23" t="n">
        <f aca="false">SUMIFS(Pipeline!$T$5:$T$14,Pipeline!$M$5:$M$14,B5,Pipeline!$U$5:$U$14,"On time")</f>
        <v>26600</v>
      </c>
      <c r="H5" s="23" t="n">
        <f aca="false">SUMIFS(Pipeline!$T$5:$T$14,Pipeline!$M$5:$M$14,B5,Pipeline!$U$5:$U$14,"Late")</f>
        <v>38600</v>
      </c>
      <c r="I5" s="23" t="n">
        <f aca="false">SUMIFS(Pipeline!$B$5:$B$14,Pipeline!$M$5:$M$14,B5,Pipeline!$L$5:$L$14,"YES")</f>
        <v>0</v>
      </c>
      <c r="J5" s="23" t="n">
        <f aca="false">SUMPRODUCT((TEXT(Pipeline!$C$5:$C$14,"yyyy-mm")=B5)*('Opp summary'!$F$4:$F$13="Regrettable")*'Opp summary'!$E$4:$E$13)</f>
        <v>-15000</v>
      </c>
    </row>
    <row r="6" customFormat="false" ht="15" hidden="false" customHeight="false" outlineLevel="0" collapsed="false">
      <c r="A6" s="15" t="s">
        <v>224</v>
      </c>
      <c r="B6" s="15" t="s">
        <v>227</v>
      </c>
      <c r="C6" s="15" t="n">
        <f aca="false">COUNTIFS(Pipeline!$M$5:$M$14,B6)</f>
        <v>3</v>
      </c>
      <c r="D6" s="23" t="n">
        <f aca="false">SUMIFS(Pipeline!$B$5:$B$14,Pipeline!$M$5:$M$14,B6)</f>
        <v>122000</v>
      </c>
      <c r="E6" s="23" t="n">
        <f aca="false">SUMIFS(Pipeline!$S$5:$S$14,Pipeline!$M$5:$M$14,B6)</f>
        <v>110400</v>
      </c>
      <c r="F6" s="23" t="n">
        <f aca="false">SUMIFS(Pipeline!$T$5:$T$14,Pipeline!$M$5:$M$14,B6)</f>
        <v>45100</v>
      </c>
      <c r="G6" s="23" t="n">
        <f aca="false">SUMIFS(Pipeline!$T$5:$T$14,Pipeline!$M$5:$M$14,B6,Pipeline!$U$5:$U$14,"On time")</f>
        <v>45100</v>
      </c>
      <c r="H6" s="23" t="n">
        <f aca="false">SUMIFS(Pipeline!$T$5:$T$14,Pipeline!$M$5:$M$14,B6,Pipeline!$U$5:$U$14,"Late")</f>
        <v>0</v>
      </c>
      <c r="I6" s="23" t="n">
        <f aca="false">SUMIFS(Pipeline!$B$5:$B$14,Pipeline!$M$5:$M$14,B6,Pipeline!$L$5:$L$14,"YES")</f>
        <v>0</v>
      </c>
      <c r="J6" s="23" t="n">
        <f aca="false">SUMPRODUCT((TEXT(Pipeline!$C$5:$C$14,"yyyy-mm")=B6)*('Opp summary'!$F$4:$F$13="Regrettable")*'Opp summary'!$E$4:$E$13)</f>
        <v>-8000</v>
      </c>
    </row>
    <row r="7" customFormat="false" ht="15" hidden="false" customHeight="false" outlineLevel="0" collapsed="false">
      <c r="A7" s="2" t="s">
        <v>228</v>
      </c>
      <c r="C7" s="2" t="n">
        <f aca="false">SUM(C4:C6)</f>
        <v>10</v>
      </c>
      <c r="D7" s="26" t="n">
        <f aca="false">SUM(D4:D6)</f>
        <v>375000</v>
      </c>
      <c r="E7" s="26" t="n">
        <f aca="false">SUM(E4:E6)</f>
        <v>348400</v>
      </c>
      <c r="F7" s="26" t="n">
        <f aca="false">SUM(F4:F6)</f>
        <v>132800</v>
      </c>
      <c r="G7" s="26" t="n">
        <f aca="false">SUM(G4:G6)</f>
        <v>71700</v>
      </c>
      <c r="H7" s="26" t="n">
        <f aca="false">SUM(H4:H6)</f>
        <v>61100</v>
      </c>
      <c r="I7" s="26" t="n">
        <f aca="false">SUM(I4:I6)</f>
        <v>21000</v>
      </c>
      <c r="J7" s="26" t="n">
        <f aca="false">SUM(J4:J6)</f>
        <v>-23000</v>
      </c>
    </row>
  </sheetData>
  <conditionalFormatting sqref="I4:I7">
    <cfRule type="cellIs" priority="2" operator="greaterThan" aboveAverage="0" equalAverage="0" bottom="0" percent="0" rank="0" text="" dxfId="1">
      <formula>0</formula>
    </cfRule>
  </conditionalFormatting>
  <conditionalFormatting sqref="J4:J7">
    <cfRule type="cellIs" priority="3" operator="less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11"/>
    <col collapsed="false" customWidth="true" hidden="false" outlineLevel="0" max="7" min="7" style="0" width="70"/>
    <col collapsed="false" customWidth="true" hidden="false" outlineLevel="0" max="8" min="8" style="0" width="11"/>
  </cols>
  <sheetData>
    <row r="1" customFormat="false" ht="16.15" hidden="false" customHeight="false" outlineLevel="0" collapsed="false">
      <c r="A1" s="4" t="s">
        <v>229</v>
      </c>
    </row>
    <row r="2" customFormat="false" ht="15" hidden="false" customHeight="false" outlineLevel="0" collapsed="false">
      <c r="A2" s="5" t="s">
        <v>230</v>
      </c>
    </row>
    <row r="4" customFormat="false" ht="31.5" hidden="false" customHeight="true" outlineLevel="0" collapsed="false">
      <c r="A4" s="6" t="s">
        <v>34</v>
      </c>
      <c r="B4" s="6" t="s">
        <v>231</v>
      </c>
      <c r="C4" s="6" t="s">
        <v>232</v>
      </c>
      <c r="D4" s="6" t="s">
        <v>233</v>
      </c>
      <c r="E4" s="6" t="s">
        <v>234</v>
      </c>
      <c r="F4" s="6" t="s">
        <v>235</v>
      </c>
      <c r="G4" s="6" t="s">
        <v>236</v>
      </c>
      <c r="H4" s="6" t="s">
        <v>237</v>
      </c>
    </row>
    <row r="5" customFormat="false" ht="15" hidden="false" customHeight="false" outlineLevel="0" collapsed="false">
      <c r="A5" s="7" t="s">
        <v>238</v>
      </c>
      <c r="B5" s="40" t="n">
        <v>0</v>
      </c>
      <c r="C5" s="40" t="n">
        <v>0</v>
      </c>
      <c r="D5" s="40" t="n">
        <v>0</v>
      </c>
      <c r="E5" s="40" t="n">
        <v>0</v>
      </c>
      <c r="F5" s="40" t="n">
        <v>0</v>
      </c>
      <c r="G5" s="8" t="s">
        <v>239</v>
      </c>
      <c r="H5" s="15" t="s">
        <v>73</v>
      </c>
    </row>
    <row r="6" customFormat="false" ht="15" hidden="false" customHeight="false" outlineLevel="0" collapsed="false">
      <c r="A6" s="7" t="s">
        <v>102</v>
      </c>
      <c r="B6" s="40" t="n">
        <v>0.05</v>
      </c>
      <c r="C6" s="40" t="n">
        <v>0.1</v>
      </c>
      <c r="D6" s="40" t="n">
        <v>0.2</v>
      </c>
      <c r="E6" s="40" t="n">
        <v>0.3</v>
      </c>
      <c r="F6" s="40" t="n">
        <v>0.35</v>
      </c>
      <c r="G6" s="8" t="s">
        <v>240</v>
      </c>
      <c r="H6" s="15" t="s">
        <v>73</v>
      </c>
    </row>
    <row r="7" customFormat="false" ht="15" hidden="false" customHeight="false" outlineLevel="0" collapsed="false">
      <c r="A7" s="7" t="s">
        <v>85</v>
      </c>
      <c r="B7" s="40" t="n">
        <v>0.1</v>
      </c>
      <c r="C7" s="40" t="n">
        <v>0.25</v>
      </c>
      <c r="D7" s="40" t="n">
        <v>0.35</v>
      </c>
      <c r="E7" s="40" t="n">
        <v>0.45</v>
      </c>
      <c r="F7" s="40" t="n">
        <v>0.5</v>
      </c>
      <c r="G7" s="8" t="s">
        <v>241</v>
      </c>
      <c r="H7" s="15" t="s">
        <v>73</v>
      </c>
    </row>
    <row r="8" customFormat="false" ht="15" hidden="false" customHeight="false" outlineLevel="0" collapsed="false">
      <c r="A8" s="7" t="s">
        <v>109</v>
      </c>
      <c r="B8" s="40" t="n">
        <v>0.2</v>
      </c>
      <c r="C8" s="40" t="n">
        <v>0.4</v>
      </c>
      <c r="D8" s="40" t="n">
        <v>0.5</v>
      </c>
      <c r="E8" s="40" t="n">
        <v>0.55</v>
      </c>
      <c r="F8" s="40" t="n">
        <v>0.55</v>
      </c>
      <c r="G8" s="8" t="s">
        <v>242</v>
      </c>
      <c r="H8" s="15" t="s">
        <v>73</v>
      </c>
    </row>
    <row r="9" customFormat="false" ht="15" hidden="false" customHeight="false" outlineLevel="0" collapsed="false">
      <c r="A9" s="7" t="s">
        <v>75</v>
      </c>
      <c r="B9" s="40" t="n">
        <v>0.5</v>
      </c>
      <c r="C9" s="40" t="n">
        <v>0.75</v>
      </c>
      <c r="D9" s="40" t="n">
        <v>0.7</v>
      </c>
      <c r="E9" s="40" t="n">
        <v>0.65</v>
      </c>
      <c r="F9" s="40" t="n">
        <v>0.6</v>
      </c>
      <c r="G9" s="8" t="s">
        <v>243</v>
      </c>
      <c r="H9" s="15" t="s">
        <v>73</v>
      </c>
    </row>
    <row r="10" customFormat="false" ht="15" hidden="false" customHeight="false" outlineLevel="0" collapsed="false">
      <c r="A10" s="7" t="s">
        <v>82</v>
      </c>
      <c r="B10" s="40" t="n">
        <v>0.7</v>
      </c>
      <c r="C10" s="40" t="n">
        <v>0.9</v>
      </c>
      <c r="D10" s="40" t="n">
        <v>0.85</v>
      </c>
      <c r="E10" s="40" t="n">
        <v>0.8</v>
      </c>
      <c r="F10" s="40" t="n">
        <v>0.75</v>
      </c>
      <c r="G10" s="8" t="s">
        <v>244</v>
      </c>
      <c r="H10" s="15" t="s">
        <v>73</v>
      </c>
    </row>
    <row r="11" customFormat="false" ht="15" hidden="false" customHeight="false" outlineLevel="0" collapsed="false">
      <c r="A11" s="7" t="s">
        <v>90</v>
      </c>
      <c r="B11" s="40" t="n">
        <v>0.95</v>
      </c>
      <c r="C11" s="40" t="n">
        <v>0.99</v>
      </c>
      <c r="D11" s="40" t="n">
        <v>0.97</v>
      </c>
      <c r="E11" s="40" t="n">
        <v>0.95</v>
      </c>
      <c r="F11" s="40" t="n">
        <v>0.9</v>
      </c>
      <c r="G11" s="8" t="s">
        <v>245</v>
      </c>
      <c r="H11" s="15" t="s">
        <v>73</v>
      </c>
    </row>
    <row r="12" customFormat="false" ht="15" hidden="false" customHeight="false" outlineLevel="0" collapsed="false">
      <c r="A12" s="7" t="s">
        <v>246</v>
      </c>
      <c r="B12" s="40" t="n">
        <v>1</v>
      </c>
      <c r="C12" s="40" t="n">
        <v>1</v>
      </c>
      <c r="D12" s="40" t="n">
        <v>1</v>
      </c>
      <c r="E12" s="40" t="n">
        <v>1</v>
      </c>
      <c r="F12" s="40" t="n">
        <v>1</v>
      </c>
      <c r="G12" s="8" t="s">
        <v>247</v>
      </c>
      <c r="H12" s="15" t="s">
        <v>73</v>
      </c>
    </row>
    <row r="13" customFormat="false" ht="15" hidden="false" customHeight="false" outlineLevel="0" collapsed="false">
      <c r="A13" s="7" t="s">
        <v>248</v>
      </c>
      <c r="B13" s="40" t="n">
        <v>0</v>
      </c>
      <c r="C13" s="40" t="n">
        <v>0</v>
      </c>
      <c r="D13" s="40" t="n">
        <v>0</v>
      </c>
      <c r="E13" s="40" t="n">
        <v>0</v>
      </c>
      <c r="F13" s="40" t="n">
        <v>0</v>
      </c>
      <c r="G13" s="8" t="s">
        <v>249</v>
      </c>
      <c r="H13" s="15" t="s">
        <v>250</v>
      </c>
    </row>
    <row r="14" customFormat="false" ht="26.85" hidden="false" customHeight="false" outlineLevel="0" collapsed="false">
      <c r="A14" s="7" t="s">
        <v>99</v>
      </c>
      <c r="B14" s="40" t="n">
        <v>0.4</v>
      </c>
      <c r="C14" s="40" t="n">
        <v>0.97</v>
      </c>
      <c r="D14" s="40" t="n">
        <v>0.95</v>
      </c>
      <c r="E14" s="40" t="n">
        <v>0.92</v>
      </c>
      <c r="F14" s="40" t="n">
        <v>0.9</v>
      </c>
      <c r="G14" s="8" t="s">
        <v>251</v>
      </c>
      <c r="H14" s="15" t="s">
        <v>92</v>
      </c>
    </row>
    <row r="15" customFormat="false" ht="26.85" hidden="false" customHeight="false" outlineLevel="0" collapsed="false">
      <c r="A15" s="7" t="s">
        <v>93</v>
      </c>
      <c r="B15" s="40" t="n">
        <v>0.4</v>
      </c>
      <c r="C15" s="40" t="n">
        <v>0.6</v>
      </c>
      <c r="D15" s="40" t="n">
        <v>0.7</v>
      </c>
      <c r="E15" s="40" t="n">
        <v>0.75</v>
      </c>
      <c r="F15" s="40" t="n">
        <v>0.8</v>
      </c>
      <c r="G15" s="8" t="s">
        <v>252</v>
      </c>
      <c r="H15" s="15" t="s">
        <v>92</v>
      </c>
    </row>
    <row r="16" customFormat="false" ht="26.85" hidden="false" customHeight="false" outlineLevel="0" collapsed="false">
      <c r="A16" s="7" t="s">
        <v>137</v>
      </c>
      <c r="B16" s="40" t="n">
        <v>0.2</v>
      </c>
      <c r="C16" s="40" t="n">
        <v>0.35</v>
      </c>
      <c r="D16" s="40" t="n">
        <v>0.4</v>
      </c>
      <c r="E16" s="40" t="n">
        <v>0.45</v>
      </c>
      <c r="F16" s="40" t="n">
        <v>0.5</v>
      </c>
      <c r="G16" s="8" t="s">
        <v>253</v>
      </c>
      <c r="H16" s="15" t="s">
        <v>92</v>
      </c>
    </row>
    <row r="17" customFormat="false" ht="26.85" hidden="false" customHeight="false" outlineLevel="0" collapsed="false">
      <c r="A17" s="7" t="s">
        <v>254</v>
      </c>
      <c r="B17" s="40" t="n">
        <v>0.5</v>
      </c>
      <c r="C17" s="40" t="n">
        <v>0.8</v>
      </c>
      <c r="D17" s="40" t="n">
        <v>0.8</v>
      </c>
      <c r="E17" s="40" t="n">
        <v>0.8</v>
      </c>
      <c r="F17" s="40" t="n">
        <v>0.8</v>
      </c>
      <c r="G17" s="8" t="s">
        <v>255</v>
      </c>
      <c r="H17" s="15" t="s">
        <v>92</v>
      </c>
    </row>
    <row r="18" customFormat="false" ht="26.85" hidden="false" customHeight="false" outlineLevel="0" collapsed="false">
      <c r="A18" s="7" t="s">
        <v>256</v>
      </c>
      <c r="B18" s="40" t="n">
        <v>0</v>
      </c>
      <c r="C18" s="40" t="n">
        <v>0.1</v>
      </c>
      <c r="D18" s="40" t="n">
        <v>0.1</v>
      </c>
      <c r="E18" s="40" t="n">
        <v>0.1</v>
      </c>
      <c r="F18" s="40" t="n">
        <v>0.1</v>
      </c>
      <c r="G18" s="8" t="s">
        <v>257</v>
      </c>
      <c r="H18" s="15" t="s">
        <v>92</v>
      </c>
    </row>
    <row r="19" customFormat="false" ht="15" hidden="false" customHeight="false" outlineLevel="0" collapsed="false">
      <c r="A19" s="7" t="s">
        <v>258</v>
      </c>
      <c r="B19" s="40" t="n">
        <v>1</v>
      </c>
      <c r="C19" s="40" t="n">
        <v>1</v>
      </c>
      <c r="D19" s="40" t="n">
        <v>1</v>
      </c>
      <c r="E19" s="40" t="n">
        <v>1</v>
      </c>
      <c r="F19" s="40" t="n">
        <v>1</v>
      </c>
      <c r="G19" s="8" t="s">
        <v>259</v>
      </c>
      <c r="H19" s="15" t="s">
        <v>92</v>
      </c>
    </row>
    <row r="21" customFormat="false" ht="15" hidden="false" customHeight="true" outlineLevel="0" collapsed="false">
      <c r="A21" s="2" t="s">
        <v>15</v>
      </c>
      <c r="B21" s="35" t="s">
        <v>260</v>
      </c>
      <c r="C21" s="35"/>
      <c r="D21" s="35"/>
      <c r="E21" s="35"/>
      <c r="F21" s="35"/>
      <c r="G21" s="35"/>
    </row>
    <row r="22" customFormat="false" ht="15" hidden="false" customHeight="false" outlineLevel="0" collapsed="false">
      <c r="B22" s="35"/>
      <c r="C22" s="35"/>
      <c r="D22" s="35"/>
      <c r="E22" s="35"/>
      <c r="F22" s="35"/>
      <c r="G22" s="35"/>
    </row>
    <row r="23" customFormat="false" ht="15" hidden="false" customHeight="false" outlineLevel="0" collapsed="false">
      <c r="B23" s="35"/>
      <c r="C23" s="35"/>
      <c r="D23" s="35"/>
      <c r="E23" s="35"/>
      <c r="F23" s="35"/>
      <c r="G23" s="35"/>
    </row>
    <row r="25" customFormat="false" ht="15" hidden="false" customHeight="true" outlineLevel="0" collapsed="false">
      <c r="A25" s="2" t="s">
        <v>11</v>
      </c>
      <c r="B25" s="35" t="s">
        <v>261</v>
      </c>
      <c r="C25" s="35"/>
      <c r="D25" s="35"/>
      <c r="E25" s="35"/>
      <c r="F25" s="35"/>
      <c r="G25" s="35"/>
    </row>
    <row r="26" customFormat="false" ht="15" hidden="false" customHeight="false" outlineLevel="0" collapsed="false">
      <c r="B26" s="35"/>
      <c r="C26" s="35"/>
      <c r="D26" s="35"/>
      <c r="E26" s="35"/>
      <c r="F26" s="35"/>
      <c r="G26" s="35"/>
    </row>
    <row r="27" customFormat="false" ht="15" hidden="false" customHeight="false" outlineLevel="0" collapsed="false">
      <c r="B27" s="35"/>
      <c r="C27" s="35"/>
      <c r="D27" s="35"/>
      <c r="E27" s="35"/>
      <c r="F27" s="35"/>
      <c r="G27" s="35"/>
    </row>
  </sheetData>
  <mergeCells count="2">
    <mergeCell ref="B21:G23"/>
    <mergeCell ref="B25:G27"/>
  </mergeCells>
  <conditionalFormatting sqref="B5:F19">
    <cfRule type="expression" priority="2" aboveAverage="0" equalAverage="0" bottom="0" percent="0" rank="0" text="" dxfId="3">
      <formula>B5&gt;=0.8</formula>
    </cfRule>
    <cfRule type="expression" priority="3" aboveAverage="0" equalAverage="0" bottom="0" percent="0" rank="0" text="" dxfId="1">
      <formula>AND(B5&gt;0,B5&lt;0.4)</formula>
    </cfRule>
  </conditionalFormatting>
  <conditionalFormatting sqref="H5:H19">
    <cfRule type="expression" priority="4" aboveAverage="0" equalAverage="0" bottom="0" percent="0" rank="0" text="" dxfId="2">
      <formula>H5="Auto"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50"/>
  </cols>
  <sheetData>
    <row r="1" customFormat="false" ht="16.15" hidden="false" customHeight="false" outlineLevel="0" collapsed="false">
      <c r="A1" s="4" t="s">
        <v>262</v>
      </c>
    </row>
    <row r="3" customFormat="false" ht="31.5" hidden="false" customHeight="true" outlineLevel="0" collapsed="false">
      <c r="A3" s="6" t="s">
        <v>263</v>
      </c>
      <c r="B3" s="6" t="s">
        <v>264</v>
      </c>
      <c r="C3" s="6" t="s">
        <v>265</v>
      </c>
    </row>
    <row r="4" customFormat="false" ht="15" hidden="false" customHeight="false" outlineLevel="0" collapsed="false">
      <c r="A4" s="8" t="s">
        <v>266</v>
      </c>
      <c r="B4" s="8" t="s">
        <v>267</v>
      </c>
      <c r="C4" s="8" t="s">
        <v>268</v>
      </c>
    </row>
    <row r="5" customFormat="false" ht="15" hidden="false" customHeight="false" outlineLevel="0" collapsed="false">
      <c r="A5" s="8" t="s">
        <v>269</v>
      </c>
      <c r="B5" s="8" t="s">
        <v>270</v>
      </c>
      <c r="C5" s="8" t="s">
        <v>271</v>
      </c>
    </row>
    <row r="6" customFormat="false" ht="15" hidden="false" customHeight="false" outlineLevel="0" collapsed="false">
      <c r="A6" s="8" t="s">
        <v>272</v>
      </c>
      <c r="B6" s="8" t="s">
        <v>273</v>
      </c>
      <c r="C6" s="8" t="s">
        <v>274</v>
      </c>
    </row>
    <row r="7" customFormat="false" ht="15" hidden="false" customHeight="false" outlineLevel="0" collapsed="false">
      <c r="A7" s="8" t="s">
        <v>275</v>
      </c>
      <c r="B7" s="8" t="s">
        <v>276</v>
      </c>
      <c r="C7" s="8" t="s">
        <v>277</v>
      </c>
    </row>
    <row r="8" customFormat="false" ht="15" hidden="false" customHeight="false" outlineLevel="0" collapsed="false">
      <c r="A8" s="8" t="s">
        <v>188</v>
      </c>
      <c r="B8" s="8" t="s">
        <v>278</v>
      </c>
      <c r="C8" s="8" t="s">
        <v>279</v>
      </c>
    </row>
    <row r="9" customFormat="false" ht="15" hidden="false" customHeight="false" outlineLevel="0" collapsed="false">
      <c r="A9" s="8" t="s">
        <v>280</v>
      </c>
      <c r="B9" s="8" t="s">
        <v>281</v>
      </c>
      <c r="C9" s="8" t="s">
        <v>282</v>
      </c>
    </row>
    <row r="10" customFormat="false" ht="15" hidden="false" customHeight="false" outlineLevel="0" collapsed="false">
      <c r="A10" s="8" t="s">
        <v>283</v>
      </c>
      <c r="B10" s="8" t="s">
        <v>284</v>
      </c>
      <c r="C10" s="8" t="s">
        <v>285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2026-10-26T11:47:27Z</dcterms:created>
  <dc:creator>openpyxl</dc:creator>
  <dc:description/>
  <dc:language>en-US</dc:language>
  <cp:lastModifiedBy/>
  <dcterms:modified xsi:type="dcterms:W3CDTF">2026-10-26T11:47:27Z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